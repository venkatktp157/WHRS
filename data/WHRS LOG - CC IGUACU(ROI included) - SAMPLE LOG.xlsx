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ENKAT\Downloads\WHRS_EPS\"/>
    </mc:Choice>
  </mc:AlternateContent>
  <xr:revisionPtr revIDLastSave="0" documentId="13_ncr:1_{BF9E88DC-FAEE-46E9-BBEF-274472BD67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AG40" i="1"/>
  <c r="W34" i="1"/>
  <c r="W35" i="1"/>
  <c r="W36" i="1"/>
  <c r="W37" i="1"/>
  <c r="W38" i="1"/>
  <c r="W39" i="1"/>
  <c r="A27" i="1"/>
  <c r="A26" i="1"/>
  <c r="AF14" i="1"/>
  <c r="W13" i="1" l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AH96" i="1" s="1"/>
  <c r="AI96" i="1" s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AF5" i="1"/>
  <c r="AF6" i="1"/>
  <c r="AF7" i="1"/>
  <c r="AF8" i="1"/>
  <c r="AF9" i="1"/>
  <c r="AF10" i="1"/>
  <c r="AF11" i="1"/>
  <c r="AF12" i="1"/>
  <c r="AF13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H28" i="1" s="1"/>
  <c r="AI28" i="1" s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H55" i="1" s="1"/>
  <c r="AI55" i="1" s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H74" i="1" s="1"/>
  <c r="AI74" i="1" s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H93" i="1" s="1"/>
  <c r="AI93" i="1" s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H112" i="1" s="1"/>
  <c r="AI112" i="1" s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H127" i="1" s="1"/>
  <c r="AI127" i="1" s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H146" i="1" s="1"/>
  <c r="AI146" i="1" s="1"/>
  <c r="AF147" i="1"/>
  <c r="AF148" i="1"/>
  <c r="AF149" i="1"/>
  <c r="AF150" i="1"/>
  <c r="AF151" i="1"/>
  <c r="AF152" i="1"/>
  <c r="AF153" i="1"/>
  <c r="AH153" i="1" s="1"/>
  <c r="AI153" i="1" s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H187" i="1" s="1"/>
  <c r="AI187" i="1" s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H206" i="1" s="1"/>
  <c r="AI206" i="1" s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H225" i="1" s="1"/>
  <c r="AI225" i="1" s="1"/>
  <c r="AF226" i="1"/>
  <c r="AF227" i="1"/>
  <c r="AH227" i="1" s="1"/>
  <c r="AI227" i="1" s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" i="1"/>
  <c r="AI293" i="1"/>
  <c r="AI376" i="1"/>
  <c r="AI537" i="1"/>
  <c r="AI541" i="1"/>
  <c r="AI571" i="1"/>
  <c r="AI583" i="1"/>
  <c r="AI599" i="1"/>
  <c r="AI611" i="1"/>
  <c r="AI613" i="1"/>
  <c r="AI681" i="1"/>
  <c r="AI691" i="1"/>
  <c r="AI695" i="1"/>
  <c r="AI739" i="1"/>
  <c r="AI761" i="1"/>
  <c r="AI779" i="1"/>
  <c r="AI781" i="1"/>
  <c r="AI809" i="1"/>
  <c r="AI821" i="1"/>
  <c r="AI849" i="1"/>
  <c r="AI859" i="1"/>
  <c r="AI915" i="1"/>
  <c r="AI921" i="1"/>
  <c r="AI957" i="1"/>
  <c r="AI975" i="1"/>
  <c r="AI977" i="1"/>
  <c r="AH86" i="1"/>
  <c r="AI86" i="1" s="1"/>
  <c r="AH155" i="1"/>
  <c r="AI155" i="1" s="1"/>
  <c r="AH563" i="1"/>
  <c r="AI563" i="1" s="1"/>
  <c r="AH604" i="1"/>
  <c r="AI604" i="1" s="1"/>
  <c r="AH624" i="1"/>
  <c r="AI624" i="1" s="1"/>
  <c r="AH706" i="1"/>
  <c r="AI706" i="1" s="1"/>
  <c r="AH786" i="1"/>
  <c r="AI786" i="1" s="1"/>
  <c r="AH824" i="1"/>
  <c r="AI824" i="1" s="1"/>
  <c r="AH888" i="1"/>
  <c r="AI888" i="1" s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1" i="1"/>
  <c r="AG42" i="1"/>
  <c r="AG43" i="1"/>
  <c r="AG44" i="1"/>
  <c r="AG45" i="1"/>
  <c r="AG46" i="1"/>
  <c r="AH46" i="1" s="1"/>
  <c r="AI46" i="1" s="1"/>
  <c r="AG47" i="1"/>
  <c r="AH47" i="1" s="1"/>
  <c r="AI47" i="1" s="1"/>
  <c r="AG48" i="1"/>
  <c r="AG49" i="1"/>
  <c r="AG50" i="1"/>
  <c r="AG51" i="1"/>
  <c r="AH51" i="1" s="1"/>
  <c r="AI51" i="1" s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H70" i="1" s="1"/>
  <c r="AI70" i="1" s="1"/>
  <c r="AG71" i="1"/>
  <c r="AG72" i="1"/>
  <c r="AG73" i="1"/>
  <c r="AG74" i="1"/>
  <c r="AG75" i="1"/>
  <c r="AH75" i="1" s="1"/>
  <c r="AI75" i="1" s="1"/>
  <c r="AG76" i="1"/>
  <c r="AG77" i="1"/>
  <c r="AG78" i="1"/>
  <c r="AG79" i="1"/>
  <c r="AG80" i="1"/>
  <c r="AG81" i="1"/>
  <c r="AG82" i="1"/>
  <c r="AG83" i="1"/>
  <c r="AG84" i="1"/>
  <c r="AG85" i="1"/>
  <c r="AH85" i="1" s="1"/>
  <c r="AI85" i="1" s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H107" i="1" s="1"/>
  <c r="AI107" i="1" s="1"/>
  <c r="AG108" i="1"/>
  <c r="AG109" i="1"/>
  <c r="AG110" i="1"/>
  <c r="AG111" i="1"/>
  <c r="AH111" i="1" s="1"/>
  <c r="AI111" i="1" s="1"/>
  <c r="AG112" i="1"/>
  <c r="AG113" i="1"/>
  <c r="AG114" i="1"/>
  <c r="AG115" i="1"/>
  <c r="AG116" i="1"/>
  <c r="AH116" i="1" s="1"/>
  <c r="AI116" i="1" s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H130" i="1" s="1"/>
  <c r="AI130" i="1" s="1"/>
  <c r="AG131" i="1"/>
  <c r="AG132" i="1"/>
  <c r="AG133" i="1"/>
  <c r="AG134" i="1"/>
  <c r="AG135" i="1"/>
  <c r="AH135" i="1" s="1"/>
  <c r="AI135" i="1" s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H147" i="1" s="1"/>
  <c r="AI147" i="1" s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H171" i="1" s="1"/>
  <c r="AI171" i="1" s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H188" i="1" s="1"/>
  <c r="AI188" i="1" s="1"/>
  <c r="AG189" i="1"/>
  <c r="AG190" i="1"/>
  <c r="AG191" i="1"/>
  <c r="AG192" i="1"/>
  <c r="AG193" i="1"/>
  <c r="AH193" i="1" s="1"/>
  <c r="AI193" i="1" s="1"/>
  <c r="AG194" i="1"/>
  <c r="AG195" i="1"/>
  <c r="AH195" i="1" s="1"/>
  <c r="AI195" i="1" s="1"/>
  <c r="AG196" i="1"/>
  <c r="AG197" i="1"/>
  <c r="AG198" i="1"/>
  <c r="AG199" i="1"/>
  <c r="AG200" i="1"/>
  <c r="AG201" i="1"/>
  <c r="AG202" i="1"/>
  <c r="AG203" i="1"/>
  <c r="AG204" i="1"/>
  <c r="AG205" i="1"/>
  <c r="AH205" i="1" s="1"/>
  <c r="AI205" i="1" s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H248" i="1" s="1"/>
  <c r="AI248" i="1" s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H315" i="1" s="1"/>
  <c r="AI315" i="1" s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H375" i="1" s="1"/>
  <c r="AI375" i="1" s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H537" i="1" s="1"/>
  <c r="AG538" i="1"/>
  <c r="AH538" i="1" s="1"/>
  <c r="AI538" i="1" s="1"/>
  <c r="AG539" i="1"/>
  <c r="AH539" i="1" s="1"/>
  <c r="AI539" i="1" s="1"/>
  <c r="AG540" i="1"/>
  <c r="AH540" i="1" s="1"/>
  <c r="AI540" i="1" s="1"/>
  <c r="AG541" i="1"/>
  <c r="AH541" i="1" s="1"/>
  <c r="AG542" i="1"/>
  <c r="AH542" i="1" s="1"/>
  <c r="AI542" i="1" s="1"/>
  <c r="AG543" i="1"/>
  <c r="AH543" i="1" s="1"/>
  <c r="AI543" i="1" s="1"/>
  <c r="AG544" i="1"/>
  <c r="AH544" i="1" s="1"/>
  <c r="AI544" i="1" s="1"/>
  <c r="AG545" i="1"/>
  <c r="AH545" i="1" s="1"/>
  <c r="AI545" i="1" s="1"/>
  <c r="AG546" i="1"/>
  <c r="AH546" i="1" s="1"/>
  <c r="AI546" i="1" s="1"/>
  <c r="AG547" i="1"/>
  <c r="AH547" i="1" s="1"/>
  <c r="AI547" i="1" s="1"/>
  <c r="AG548" i="1"/>
  <c r="AH548" i="1" s="1"/>
  <c r="AI548" i="1" s="1"/>
  <c r="AG549" i="1"/>
  <c r="AH549" i="1" s="1"/>
  <c r="AI549" i="1" s="1"/>
  <c r="AG550" i="1"/>
  <c r="AH550" i="1" s="1"/>
  <c r="AI550" i="1" s="1"/>
  <c r="AG551" i="1"/>
  <c r="AH551" i="1" s="1"/>
  <c r="AI551" i="1" s="1"/>
  <c r="AG552" i="1"/>
  <c r="AH552" i="1" s="1"/>
  <c r="AI552" i="1" s="1"/>
  <c r="AG553" i="1"/>
  <c r="AH553" i="1" s="1"/>
  <c r="AI553" i="1" s="1"/>
  <c r="AG554" i="1"/>
  <c r="AH554" i="1" s="1"/>
  <c r="AI554" i="1" s="1"/>
  <c r="AG555" i="1"/>
  <c r="AH555" i="1" s="1"/>
  <c r="AI555" i="1" s="1"/>
  <c r="AG556" i="1"/>
  <c r="AH556" i="1" s="1"/>
  <c r="AI556" i="1" s="1"/>
  <c r="AG557" i="1"/>
  <c r="AH557" i="1" s="1"/>
  <c r="AI557" i="1" s="1"/>
  <c r="AG558" i="1"/>
  <c r="AH558" i="1" s="1"/>
  <c r="AI558" i="1" s="1"/>
  <c r="AG559" i="1"/>
  <c r="AH559" i="1" s="1"/>
  <c r="AI559" i="1" s="1"/>
  <c r="AG560" i="1"/>
  <c r="AH560" i="1" s="1"/>
  <c r="AI560" i="1" s="1"/>
  <c r="AG561" i="1"/>
  <c r="AH561" i="1" s="1"/>
  <c r="AI561" i="1" s="1"/>
  <c r="AG562" i="1"/>
  <c r="AH562" i="1" s="1"/>
  <c r="AI562" i="1" s="1"/>
  <c r="AG563" i="1"/>
  <c r="AG564" i="1"/>
  <c r="AH564" i="1" s="1"/>
  <c r="AI564" i="1" s="1"/>
  <c r="AG565" i="1"/>
  <c r="AH565" i="1" s="1"/>
  <c r="AI565" i="1" s="1"/>
  <c r="AG566" i="1"/>
  <c r="AH566" i="1" s="1"/>
  <c r="AI566" i="1" s="1"/>
  <c r="AG567" i="1"/>
  <c r="AH567" i="1" s="1"/>
  <c r="AI567" i="1" s="1"/>
  <c r="AG568" i="1"/>
  <c r="AH568" i="1" s="1"/>
  <c r="AI568" i="1" s="1"/>
  <c r="AG569" i="1"/>
  <c r="AH569" i="1" s="1"/>
  <c r="AI569" i="1" s="1"/>
  <c r="AG570" i="1"/>
  <c r="AH570" i="1" s="1"/>
  <c r="AI570" i="1" s="1"/>
  <c r="AG571" i="1"/>
  <c r="AH571" i="1" s="1"/>
  <c r="AG572" i="1"/>
  <c r="AH572" i="1" s="1"/>
  <c r="AI572" i="1" s="1"/>
  <c r="AG573" i="1"/>
  <c r="AH573" i="1" s="1"/>
  <c r="AI573" i="1" s="1"/>
  <c r="AG574" i="1"/>
  <c r="AH574" i="1" s="1"/>
  <c r="AI574" i="1" s="1"/>
  <c r="AG575" i="1"/>
  <c r="AH575" i="1" s="1"/>
  <c r="AI575" i="1" s="1"/>
  <c r="AG576" i="1"/>
  <c r="AH576" i="1" s="1"/>
  <c r="AI576" i="1" s="1"/>
  <c r="AG577" i="1"/>
  <c r="AH577" i="1" s="1"/>
  <c r="AI577" i="1" s="1"/>
  <c r="AG578" i="1"/>
  <c r="AH578" i="1" s="1"/>
  <c r="AI578" i="1" s="1"/>
  <c r="AG579" i="1"/>
  <c r="AH579" i="1" s="1"/>
  <c r="AI579" i="1" s="1"/>
  <c r="AG580" i="1"/>
  <c r="AH580" i="1" s="1"/>
  <c r="AI580" i="1" s="1"/>
  <c r="AG581" i="1"/>
  <c r="AH581" i="1" s="1"/>
  <c r="AI581" i="1" s="1"/>
  <c r="AG582" i="1"/>
  <c r="AH582" i="1" s="1"/>
  <c r="AI582" i="1" s="1"/>
  <c r="AG583" i="1"/>
  <c r="AH583" i="1" s="1"/>
  <c r="AG584" i="1"/>
  <c r="AH584" i="1" s="1"/>
  <c r="AI584" i="1" s="1"/>
  <c r="AG585" i="1"/>
  <c r="AH585" i="1" s="1"/>
  <c r="AI585" i="1" s="1"/>
  <c r="AG586" i="1"/>
  <c r="AH586" i="1" s="1"/>
  <c r="AI586" i="1" s="1"/>
  <c r="AG587" i="1"/>
  <c r="AH587" i="1" s="1"/>
  <c r="AI587" i="1" s="1"/>
  <c r="AG588" i="1"/>
  <c r="AH588" i="1" s="1"/>
  <c r="AI588" i="1" s="1"/>
  <c r="AG589" i="1"/>
  <c r="AH589" i="1" s="1"/>
  <c r="AI589" i="1" s="1"/>
  <c r="AG590" i="1"/>
  <c r="AH590" i="1" s="1"/>
  <c r="AI590" i="1" s="1"/>
  <c r="AG591" i="1"/>
  <c r="AH591" i="1" s="1"/>
  <c r="AI591" i="1" s="1"/>
  <c r="AG592" i="1"/>
  <c r="AH592" i="1" s="1"/>
  <c r="AI592" i="1" s="1"/>
  <c r="AG593" i="1"/>
  <c r="AH593" i="1" s="1"/>
  <c r="AI593" i="1" s="1"/>
  <c r="AG594" i="1"/>
  <c r="AH594" i="1" s="1"/>
  <c r="AI594" i="1" s="1"/>
  <c r="AG595" i="1"/>
  <c r="AH595" i="1" s="1"/>
  <c r="AI595" i="1" s="1"/>
  <c r="AG596" i="1"/>
  <c r="AH596" i="1" s="1"/>
  <c r="AI596" i="1" s="1"/>
  <c r="AG597" i="1"/>
  <c r="AH597" i="1" s="1"/>
  <c r="AI597" i="1" s="1"/>
  <c r="AG598" i="1"/>
  <c r="AH598" i="1" s="1"/>
  <c r="AI598" i="1" s="1"/>
  <c r="AG599" i="1"/>
  <c r="AH599" i="1" s="1"/>
  <c r="AG600" i="1"/>
  <c r="AH600" i="1" s="1"/>
  <c r="AI600" i="1" s="1"/>
  <c r="AG601" i="1"/>
  <c r="AH601" i="1" s="1"/>
  <c r="AI601" i="1" s="1"/>
  <c r="AG602" i="1"/>
  <c r="AH602" i="1" s="1"/>
  <c r="AI602" i="1" s="1"/>
  <c r="AG603" i="1"/>
  <c r="AH603" i="1" s="1"/>
  <c r="AI603" i="1" s="1"/>
  <c r="AG604" i="1"/>
  <c r="AG605" i="1"/>
  <c r="AH605" i="1" s="1"/>
  <c r="AI605" i="1" s="1"/>
  <c r="AG606" i="1"/>
  <c r="AH606" i="1" s="1"/>
  <c r="AI606" i="1" s="1"/>
  <c r="AG607" i="1"/>
  <c r="AH607" i="1" s="1"/>
  <c r="AI607" i="1" s="1"/>
  <c r="AG608" i="1"/>
  <c r="AH608" i="1" s="1"/>
  <c r="AI608" i="1" s="1"/>
  <c r="AG609" i="1"/>
  <c r="AH609" i="1" s="1"/>
  <c r="AI609" i="1" s="1"/>
  <c r="AG610" i="1"/>
  <c r="AH610" i="1" s="1"/>
  <c r="AI610" i="1" s="1"/>
  <c r="AG611" i="1"/>
  <c r="AH611" i="1" s="1"/>
  <c r="AG612" i="1"/>
  <c r="AH612" i="1" s="1"/>
  <c r="AI612" i="1" s="1"/>
  <c r="AG613" i="1"/>
  <c r="AH613" i="1" s="1"/>
  <c r="AG614" i="1"/>
  <c r="AH614" i="1" s="1"/>
  <c r="AI614" i="1" s="1"/>
  <c r="AG615" i="1"/>
  <c r="AH615" i="1" s="1"/>
  <c r="AI615" i="1" s="1"/>
  <c r="AG616" i="1"/>
  <c r="AH616" i="1" s="1"/>
  <c r="AI616" i="1" s="1"/>
  <c r="AG617" i="1"/>
  <c r="AH617" i="1" s="1"/>
  <c r="AI617" i="1" s="1"/>
  <c r="AG618" i="1"/>
  <c r="AH618" i="1" s="1"/>
  <c r="AI618" i="1" s="1"/>
  <c r="AG619" i="1"/>
  <c r="AH619" i="1" s="1"/>
  <c r="AI619" i="1" s="1"/>
  <c r="AG620" i="1"/>
  <c r="AH620" i="1" s="1"/>
  <c r="AI620" i="1" s="1"/>
  <c r="AG621" i="1"/>
  <c r="AH621" i="1" s="1"/>
  <c r="AI621" i="1" s="1"/>
  <c r="AG622" i="1"/>
  <c r="AH622" i="1" s="1"/>
  <c r="AI622" i="1" s="1"/>
  <c r="AG623" i="1"/>
  <c r="AH623" i="1" s="1"/>
  <c r="AI623" i="1" s="1"/>
  <c r="AG624" i="1"/>
  <c r="AG625" i="1"/>
  <c r="AH625" i="1" s="1"/>
  <c r="AI625" i="1" s="1"/>
  <c r="AG626" i="1"/>
  <c r="AH626" i="1" s="1"/>
  <c r="AI626" i="1" s="1"/>
  <c r="AG627" i="1"/>
  <c r="AH627" i="1" s="1"/>
  <c r="AI627" i="1" s="1"/>
  <c r="AG628" i="1"/>
  <c r="AH628" i="1" s="1"/>
  <c r="AI628" i="1" s="1"/>
  <c r="AG629" i="1"/>
  <c r="AH629" i="1" s="1"/>
  <c r="AI629" i="1" s="1"/>
  <c r="AG630" i="1"/>
  <c r="AH630" i="1" s="1"/>
  <c r="AI630" i="1" s="1"/>
  <c r="AG631" i="1"/>
  <c r="AH631" i="1" s="1"/>
  <c r="AI631" i="1" s="1"/>
  <c r="AG632" i="1"/>
  <c r="AH632" i="1" s="1"/>
  <c r="AI632" i="1" s="1"/>
  <c r="AG633" i="1"/>
  <c r="AH633" i="1" s="1"/>
  <c r="AI633" i="1" s="1"/>
  <c r="AG634" i="1"/>
  <c r="AH634" i="1" s="1"/>
  <c r="AI634" i="1" s="1"/>
  <c r="AG635" i="1"/>
  <c r="AH635" i="1" s="1"/>
  <c r="AI635" i="1" s="1"/>
  <c r="AG636" i="1"/>
  <c r="AH636" i="1" s="1"/>
  <c r="AI636" i="1" s="1"/>
  <c r="AG637" i="1"/>
  <c r="AH637" i="1" s="1"/>
  <c r="AI637" i="1" s="1"/>
  <c r="AG638" i="1"/>
  <c r="AH638" i="1" s="1"/>
  <c r="AI638" i="1" s="1"/>
  <c r="AG639" i="1"/>
  <c r="AH639" i="1" s="1"/>
  <c r="AI639" i="1" s="1"/>
  <c r="AG640" i="1"/>
  <c r="AH640" i="1" s="1"/>
  <c r="AI640" i="1" s="1"/>
  <c r="AG641" i="1"/>
  <c r="AH641" i="1" s="1"/>
  <c r="AI641" i="1" s="1"/>
  <c r="AG642" i="1"/>
  <c r="AH642" i="1" s="1"/>
  <c r="AI642" i="1" s="1"/>
  <c r="AG643" i="1"/>
  <c r="AH643" i="1" s="1"/>
  <c r="AI643" i="1" s="1"/>
  <c r="AG644" i="1"/>
  <c r="AH644" i="1" s="1"/>
  <c r="AI644" i="1" s="1"/>
  <c r="AG645" i="1"/>
  <c r="AH645" i="1" s="1"/>
  <c r="AI645" i="1" s="1"/>
  <c r="AG646" i="1"/>
  <c r="AH646" i="1" s="1"/>
  <c r="AI646" i="1" s="1"/>
  <c r="AG647" i="1"/>
  <c r="AH647" i="1" s="1"/>
  <c r="AI647" i="1" s="1"/>
  <c r="AG648" i="1"/>
  <c r="AH648" i="1" s="1"/>
  <c r="AI648" i="1" s="1"/>
  <c r="AG649" i="1"/>
  <c r="AH649" i="1" s="1"/>
  <c r="AI649" i="1" s="1"/>
  <c r="AG650" i="1"/>
  <c r="AH650" i="1" s="1"/>
  <c r="AI650" i="1" s="1"/>
  <c r="AG651" i="1"/>
  <c r="AH651" i="1" s="1"/>
  <c r="AI651" i="1" s="1"/>
  <c r="AG652" i="1"/>
  <c r="AH652" i="1" s="1"/>
  <c r="AI652" i="1" s="1"/>
  <c r="AG653" i="1"/>
  <c r="AH653" i="1" s="1"/>
  <c r="AI653" i="1" s="1"/>
  <c r="AG654" i="1"/>
  <c r="AH654" i="1" s="1"/>
  <c r="AI654" i="1" s="1"/>
  <c r="AG655" i="1"/>
  <c r="AH655" i="1" s="1"/>
  <c r="AI655" i="1" s="1"/>
  <c r="AG656" i="1"/>
  <c r="AH656" i="1" s="1"/>
  <c r="AI656" i="1" s="1"/>
  <c r="AG657" i="1"/>
  <c r="AH657" i="1" s="1"/>
  <c r="AI657" i="1" s="1"/>
  <c r="AG658" i="1"/>
  <c r="AH658" i="1" s="1"/>
  <c r="AI658" i="1" s="1"/>
  <c r="AG659" i="1"/>
  <c r="AH659" i="1" s="1"/>
  <c r="AI659" i="1" s="1"/>
  <c r="AG660" i="1"/>
  <c r="AH660" i="1" s="1"/>
  <c r="AI660" i="1" s="1"/>
  <c r="AG661" i="1"/>
  <c r="AH661" i="1" s="1"/>
  <c r="AI661" i="1" s="1"/>
  <c r="AG662" i="1"/>
  <c r="AH662" i="1" s="1"/>
  <c r="AI662" i="1" s="1"/>
  <c r="AG663" i="1"/>
  <c r="AH663" i="1" s="1"/>
  <c r="AI663" i="1" s="1"/>
  <c r="AG664" i="1"/>
  <c r="AH664" i="1" s="1"/>
  <c r="AI664" i="1" s="1"/>
  <c r="AG665" i="1"/>
  <c r="AH665" i="1" s="1"/>
  <c r="AI665" i="1" s="1"/>
  <c r="AG666" i="1"/>
  <c r="AH666" i="1" s="1"/>
  <c r="AI666" i="1" s="1"/>
  <c r="AG667" i="1"/>
  <c r="AH667" i="1" s="1"/>
  <c r="AI667" i="1" s="1"/>
  <c r="AG668" i="1"/>
  <c r="AH668" i="1" s="1"/>
  <c r="AI668" i="1" s="1"/>
  <c r="AG669" i="1"/>
  <c r="AH669" i="1" s="1"/>
  <c r="AI669" i="1" s="1"/>
  <c r="AG670" i="1"/>
  <c r="AH670" i="1" s="1"/>
  <c r="AI670" i="1" s="1"/>
  <c r="AG671" i="1"/>
  <c r="AH671" i="1" s="1"/>
  <c r="AI671" i="1" s="1"/>
  <c r="AG672" i="1"/>
  <c r="AH672" i="1" s="1"/>
  <c r="AI672" i="1" s="1"/>
  <c r="AG673" i="1"/>
  <c r="AH673" i="1" s="1"/>
  <c r="AI673" i="1" s="1"/>
  <c r="AG674" i="1"/>
  <c r="AH674" i="1" s="1"/>
  <c r="AI674" i="1" s="1"/>
  <c r="AG675" i="1"/>
  <c r="AH675" i="1" s="1"/>
  <c r="AI675" i="1" s="1"/>
  <c r="AG676" i="1"/>
  <c r="AH676" i="1" s="1"/>
  <c r="AI676" i="1" s="1"/>
  <c r="AG677" i="1"/>
  <c r="AH677" i="1" s="1"/>
  <c r="AI677" i="1" s="1"/>
  <c r="AG678" i="1"/>
  <c r="AH678" i="1" s="1"/>
  <c r="AI678" i="1" s="1"/>
  <c r="AG679" i="1"/>
  <c r="AH679" i="1" s="1"/>
  <c r="AI679" i="1" s="1"/>
  <c r="AG680" i="1"/>
  <c r="AH680" i="1" s="1"/>
  <c r="AI680" i="1" s="1"/>
  <c r="AG681" i="1"/>
  <c r="AH681" i="1" s="1"/>
  <c r="AG682" i="1"/>
  <c r="AH682" i="1" s="1"/>
  <c r="AI682" i="1" s="1"/>
  <c r="AG683" i="1"/>
  <c r="AH683" i="1" s="1"/>
  <c r="AI683" i="1" s="1"/>
  <c r="AG684" i="1"/>
  <c r="AH684" i="1" s="1"/>
  <c r="AI684" i="1" s="1"/>
  <c r="AG685" i="1"/>
  <c r="AH685" i="1" s="1"/>
  <c r="AI685" i="1" s="1"/>
  <c r="AG686" i="1"/>
  <c r="AH686" i="1" s="1"/>
  <c r="AI686" i="1" s="1"/>
  <c r="AG687" i="1"/>
  <c r="AH687" i="1" s="1"/>
  <c r="AI687" i="1" s="1"/>
  <c r="AG688" i="1"/>
  <c r="AH688" i="1" s="1"/>
  <c r="AI688" i="1" s="1"/>
  <c r="AG689" i="1"/>
  <c r="AH689" i="1" s="1"/>
  <c r="AI689" i="1" s="1"/>
  <c r="AG690" i="1"/>
  <c r="AH690" i="1" s="1"/>
  <c r="AI690" i="1" s="1"/>
  <c r="AG691" i="1"/>
  <c r="AH691" i="1" s="1"/>
  <c r="AG692" i="1"/>
  <c r="AH692" i="1" s="1"/>
  <c r="AI692" i="1" s="1"/>
  <c r="AG693" i="1"/>
  <c r="AH693" i="1" s="1"/>
  <c r="AI693" i="1" s="1"/>
  <c r="AG694" i="1"/>
  <c r="AH694" i="1" s="1"/>
  <c r="AI694" i="1" s="1"/>
  <c r="AG695" i="1"/>
  <c r="AH695" i="1" s="1"/>
  <c r="AG696" i="1"/>
  <c r="AH696" i="1" s="1"/>
  <c r="AI696" i="1" s="1"/>
  <c r="AG697" i="1"/>
  <c r="AH697" i="1" s="1"/>
  <c r="AI697" i="1" s="1"/>
  <c r="AG698" i="1"/>
  <c r="AH698" i="1" s="1"/>
  <c r="AI698" i="1" s="1"/>
  <c r="AG699" i="1"/>
  <c r="AH699" i="1" s="1"/>
  <c r="AI699" i="1" s="1"/>
  <c r="AG700" i="1"/>
  <c r="AH700" i="1" s="1"/>
  <c r="AI700" i="1" s="1"/>
  <c r="AG701" i="1"/>
  <c r="AH701" i="1" s="1"/>
  <c r="AI701" i="1" s="1"/>
  <c r="AG702" i="1"/>
  <c r="AH702" i="1" s="1"/>
  <c r="AI702" i="1" s="1"/>
  <c r="AG703" i="1"/>
  <c r="AH703" i="1" s="1"/>
  <c r="AI703" i="1" s="1"/>
  <c r="AG704" i="1"/>
  <c r="AH704" i="1" s="1"/>
  <c r="AI704" i="1" s="1"/>
  <c r="AG705" i="1"/>
  <c r="AH705" i="1" s="1"/>
  <c r="AI705" i="1" s="1"/>
  <c r="AG706" i="1"/>
  <c r="AG707" i="1"/>
  <c r="AH707" i="1" s="1"/>
  <c r="AI707" i="1" s="1"/>
  <c r="AG708" i="1"/>
  <c r="AH708" i="1" s="1"/>
  <c r="AI708" i="1" s="1"/>
  <c r="AG709" i="1"/>
  <c r="AH709" i="1" s="1"/>
  <c r="AI709" i="1" s="1"/>
  <c r="AG710" i="1"/>
  <c r="AH710" i="1" s="1"/>
  <c r="AI710" i="1" s="1"/>
  <c r="AG711" i="1"/>
  <c r="AH711" i="1" s="1"/>
  <c r="AI711" i="1" s="1"/>
  <c r="AG712" i="1"/>
  <c r="AH712" i="1" s="1"/>
  <c r="AI712" i="1" s="1"/>
  <c r="AG713" i="1"/>
  <c r="AH713" i="1" s="1"/>
  <c r="AI713" i="1" s="1"/>
  <c r="AG714" i="1"/>
  <c r="AH714" i="1" s="1"/>
  <c r="AI714" i="1" s="1"/>
  <c r="AG715" i="1"/>
  <c r="AH715" i="1" s="1"/>
  <c r="AI715" i="1" s="1"/>
  <c r="AG716" i="1"/>
  <c r="AH716" i="1" s="1"/>
  <c r="AI716" i="1" s="1"/>
  <c r="AG717" i="1"/>
  <c r="AH717" i="1" s="1"/>
  <c r="AI717" i="1" s="1"/>
  <c r="AG718" i="1"/>
  <c r="AH718" i="1" s="1"/>
  <c r="AI718" i="1" s="1"/>
  <c r="AG719" i="1"/>
  <c r="AH719" i="1" s="1"/>
  <c r="AI719" i="1" s="1"/>
  <c r="AG720" i="1"/>
  <c r="AH720" i="1" s="1"/>
  <c r="AI720" i="1" s="1"/>
  <c r="AG721" i="1"/>
  <c r="AH721" i="1" s="1"/>
  <c r="AI721" i="1" s="1"/>
  <c r="AG722" i="1"/>
  <c r="AH722" i="1" s="1"/>
  <c r="AI722" i="1" s="1"/>
  <c r="AG723" i="1"/>
  <c r="AH723" i="1" s="1"/>
  <c r="AI723" i="1" s="1"/>
  <c r="AG724" i="1"/>
  <c r="AH724" i="1" s="1"/>
  <c r="AI724" i="1" s="1"/>
  <c r="AG725" i="1"/>
  <c r="AH725" i="1" s="1"/>
  <c r="AI725" i="1" s="1"/>
  <c r="AG726" i="1"/>
  <c r="AH726" i="1" s="1"/>
  <c r="AI726" i="1" s="1"/>
  <c r="AG727" i="1"/>
  <c r="AH727" i="1" s="1"/>
  <c r="AI727" i="1" s="1"/>
  <c r="AG728" i="1"/>
  <c r="AH728" i="1" s="1"/>
  <c r="AI728" i="1" s="1"/>
  <c r="AG729" i="1"/>
  <c r="AH729" i="1" s="1"/>
  <c r="AI729" i="1" s="1"/>
  <c r="AG730" i="1"/>
  <c r="AH730" i="1" s="1"/>
  <c r="AI730" i="1" s="1"/>
  <c r="AG731" i="1"/>
  <c r="AH731" i="1" s="1"/>
  <c r="AI731" i="1" s="1"/>
  <c r="AG732" i="1"/>
  <c r="AH732" i="1" s="1"/>
  <c r="AI732" i="1" s="1"/>
  <c r="AG733" i="1"/>
  <c r="AH733" i="1" s="1"/>
  <c r="AI733" i="1" s="1"/>
  <c r="AG734" i="1"/>
  <c r="AH734" i="1" s="1"/>
  <c r="AI734" i="1" s="1"/>
  <c r="AG735" i="1"/>
  <c r="AH735" i="1" s="1"/>
  <c r="AI735" i="1" s="1"/>
  <c r="AG736" i="1"/>
  <c r="AH736" i="1" s="1"/>
  <c r="AI736" i="1" s="1"/>
  <c r="AG737" i="1"/>
  <c r="AH737" i="1" s="1"/>
  <c r="AI737" i="1" s="1"/>
  <c r="AG738" i="1"/>
  <c r="AH738" i="1" s="1"/>
  <c r="AI738" i="1" s="1"/>
  <c r="AG739" i="1"/>
  <c r="AH739" i="1" s="1"/>
  <c r="AG740" i="1"/>
  <c r="AH740" i="1" s="1"/>
  <c r="AI740" i="1" s="1"/>
  <c r="AG741" i="1"/>
  <c r="AH741" i="1" s="1"/>
  <c r="AI741" i="1" s="1"/>
  <c r="AG742" i="1"/>
  <c r="AH742" i="1" s="1"/>
  <c r="AI742" i="1" s="1"/>
  <c r="AG743" i="1"/>
  <c r="AH743" i="1" s="1"/>
  <c r="AI743" i="1" s="1"/>
  <c r="AG744" i="1"/>
  <c r="AH744" i="1" s="1"/>
  <c r="AI744" i="1" s="1"/>
  <c r="AG745" i="1"/>
  <c r="AH745" i="1" s="1"/>
  <c r="AI745" i="1" s="1"/>
  <c r="AG746" i="1"/>
  <c r="AH746" i="1" s="1"/>
  <c r="AI746" i="1" s="1"/>
  <c r="AG747" i="1"/>
  <c r="AH747" i="1" s="1"/>
  <c r="AI747" i="1" s="1"/>
  <c r="AG748" i="1"/>
  <c r="AH748" i="1" s="1"/>
  <c r="AI748" i="1" s="1"/>
  <c r="AG749" i="1"/>
  <c r="AH749" i="1" s="1"/>
  <c r="AI749" i="1" s="1"/>
  <c r="AG750" i="1"/>
  <c r="AH750" i="1" s="1"/>
  <c r="AI750" i="1" s="1"/>
  <c r="AG751" i="1"/>
  <c r="AH751" i="1" s="1"/>
  <c r="AI751" i="1" s="1"/>
  <c r="AG752" i="1"/>
  <c r="AH752" i="1" s="1"/>
  <c r="AI752" i="1" s="1"/>
  <c r="AG753" i="1"/>
  <c r="AH753" i="1" s="1"/>
  <c r="AI753" i="1" s="1"/>
  <c r="AG754" i="1"/>
  <c r="AH754" i="1" s="1"/>
  <c r="AI754" i="1" s="1"/>
  <c r="AG755" i="1"/>
  <c r="AH755" i="1" s="1"/>
  <c r="AI755" i="1" s="1"/>
  <c r="AG756" i="1"/>
  <c r="AH756" i="1" s="1"/>
  <c r="AI756" i="1" s="1"/>
  <c r="AG757" i="1"/>
  <c r="AH757" i="1" s="1"/>
  <c r="AI757" i="1" s="1"/>
  <c r="AG758" i="1"/>
  <c r="AH758" i="1" s="1"/>
  <c r="AI758" i="1" s="1"/>
  <c r="AG759" i="1"/>
  <c r="AH759" i="1" s="1"/>
  <c r="AI759" i="1" s="1"/>
  <c r="AG760" i="1"/>
  <c r="AH760" i="1" s="1"/>
  <c r="AI760" i="1" s="1"/>
  <c r="AG761" i="1"/>
  <c r="AH761" i="1" s="1"/>
  <c r="AG762" i="1"/>
  <c r="AH762" i="1" s="1"/>
  <c r="AI762" i="1" s="1"/>
  <c r="AG763" i="1"/>
  <c r="AH763" i="1" s="1"/>
  <c r="AI763" i="1" s="1"/>
  <c r="AG764" i="1"/>
  <c r="AH764" i="1" s="1"/>
  <c r="AI764" i="1" s="1"/>
  <c r="AG765" i="1"/>
  <c r="AH765" i="1" s="1"/>
  <c r="AI765" i="1" s="1"/>
  <c r="AG766" i="1"/>
  <c r="AH766" i="1" s="1"/>
  <c r="AI766" i="1" s="1"/>
  <c r="AG767" i="1"/>
  <c r="AH767" i="1" s="1"/>
  <c r="AI767" i="1" s="1"/>
  <c r="AG768" i="1"/>
  <c r="AH768" i="1" s="1"/>
  <c r="AI768" i="1" s="1"/>
  <c r="AG769" i="1"/>
  <c r="AH769" i="1" s="1"/>
  <c r="AI769" i="1" s="1"/>
  <c r="AG770" i="1"/>
  <c r="AH770" i="1" s="1"/>
  <c r="AI770" i="1" s="1"/>
  <c r="AG771" i="1"/>
  <c r="AH771" i="1" s="1"/>
  <c r="AI771" i="1" s="1"/>
  <c r="AG772" i="1"/>
  <c r="AH772" i="1" s="1"/>
  <c r="AI772" i="1" s="1"/>
  <c r="AG773" i="1"/>
  <c r="AH773" i="1" s="1"/>
  <c r="AI773" i="1" s="1"/>
  <c r="AG774" i="1"/>
  <c r="AH774" i="1" s="1"/>
  <c r="AI774" i="1" s="1"/>
  <c r="AG775" i="1"/>
  <c r="AH775" i="1" s="1"/>
  <c r="AI775" i="1" s="1"/>
  <c r="AG776" i="1"/>
  <c r="AH776" i="1" s="1"/>
  <c r="AI776" i="1" s="1"/>
  <c r="AG777" i="1"/>
  <c r="AH777" i="1" s="1"/>
  <c r="AI777" i="1" s="1"/>
  <c r="AG778" i="1"/>
  <c r="AH778" i="1" s="1"/>
  <c r="AI778" i="1" s="1"/>
  <c r="AG779" i="1"/>
  <c r="AH779" i="1" s="1"/>
  <c r="AG780" i="1"/>
  <c r="AH780" i="1" s="1"/>
  <c r="AI780" i="1" s="1"/>
  <c r="AG781" i="1"/>
  <c r="AH781" i="1" s="1"/>
  <c r="AG782" i="1"/>
  <c r="AH782" i="1" s="1"/>
  <c r="AI782" i="1" s="1"/>
  <c r="AG783" i="1"/>
  <c r="AH783" i="1" s="1"/>
  <c r="AI783" i="1" s="1"/>
  <c r="AG784" i="1"/>
  <c r="AH784" i="1" s="1"/>
  <c r="AI784" i="1" s="1"/>
  <c r="AG785" i="1"/>
  <c r="AH785" i="1" s="1"/>
  <c r="AI785" i="1" s="1"/>
  <c r="AG786" i="1"/>
  <c r="AG787" i="1"/>
  <c r="AH787" i="1" s="1"/>
  <c r="AI787" i="1" s="1"/>
  <c r="AG788" i="1"/>
  <c r="AH788" i="1" s="1"/>
  <c r="AI788" i="1" s="1"/>
  <c r="AG789" i="1"/>
  <c r="AH789" i="1" s="1"/>
  <c r="AI789" i="1" s="1"/>
  <c r="AG790" i="1"/>
  <c r="AH790" i="1" s="1"/>
  <c r="AI790" i="1" s="1"/>
  <c r="AG791" i="1"/>
  <c r="AH791" i="1" s="1"/>
  <c r="AI791" i="1" s="1"/>
  <c r="AG792" i="1"/>
  <c r="AH792" i="1" s="1"/>
  <c r="AI792" i="1" s="1"/>
  <c r="AG793" i="1"/>
  <c r="AH793" i="1" s="1"/>
  <c r="AI793" i="1" s="1"/>
  <c r="AG794" i="1"/>
  <c r="AH794" i="1" s="1"/>
  <c r="AI794" i="1" s="1"/>
  <c r="AG795" i="1"/>
  <c r="AH795" i="1" s="1"/>
  <c r="AI795" i="1" s="1"/>
  <c r="AG796" i="1"/>
  <c r="AH796" i="1" s="1"/>
  <c r="AI796" i="1" s="1"/>
  <c r="AG797" i="1"/>
  <c r="AH797" i="1" s="1"/>
  <c r="AI797" i="1" s="1"/>
  <c r="AG798" i="1"/>
  <c r="AH798" i="1" s="1"/>
  <c r="AI798" i="1" s="1"/>
  <c r="AG799" i="1"/>
  <c r="AH799" i="1" s="1"/>
  <c r="AI799" i="1" s="1"/>
  <c r="AG800" i="1"/>
  <c r="AH800" i="1" s="1"/>
  <c r="AI800" i="1" s="1"/>
  <c r="AG801" i="1"/>
  <c r="AH801" i="1" s="1"/>
  <c r="AI801" i="1" s="1"/>
  <c r="AG802" i="1"/>
  <c r="AH802" i="1" s="1"/>
  <c r="AI802" i="1" s="1"/>
  <c r="AG803" i="1"/>
  <c r="AH803" i="1" s="1"/>
  <c r="AI803" i="1" s="1"/>
  <c r="AG804" i="1"/>
  <c r="AH804" i="1" s="1"/>
  <c r="AI804" i="1" s="1"/>
  <c r="AG805" i="1"/>
  <c r="AH805" i="1" s="1"/>
  <c r="AI805" i="1" s="1"/>
  <c r="AG806" i="1"/>
  <c r="AH806" i="1" s="1"/>
  <c r="AI806" i="1" s="1"/>
  <c r="AG807" i="1"/>
  <c r="AH807" i="1" s="1"/>
  <c r="AI807" i="1" s="1"/>
  <c r="AG808" i="1"/>
  <c r="AH808" i="1" s="1"/>
  <c r="AI808" i="1" s="1"/>
  <c r="AG809" i="1"/>
  <c r="AH809" i="1" s="1"/>
  <c r="AG810" i="1"/>
  <c r="AH810" i="1" s="1"/>
  <c r="AI810" i="1" s="1"/>
  <c r="AG811" i="1"/>
  <c r="AH811" i="1" s="1"/>
  <c r="AI811" i="1" s="1"/>
  <c r="AG812" i="1"/>
  <c r="AH812" i="1" s="1"/>
  <c r="AI812" i="1" s="1"/>
  <c r="AG813" i="1"/>
  <c r="AH813" i="1" s="1"/>
  <c r="AI813" i="1" s="1"/>
  <c r="AG814" i="1"/>
  <c r="AH814" i="1" s="1"/>
  <c r="AI814" i="1" s="1"/>
  <c r="AG815" i="1"/>
  <c r="AH815" i="1" s="1"/>
  <c r="AI815" i="1" s="1"/>
  <c r="AG816" i="1"/>
  <c r="AH816" i="1" s="1"/>
  <c r="AI816" i="1" s="1"/>
  <c r="AG817" i="1"/>
  <c r="AH817" i="1" s="1"/>
  <c r="AI817" i="1" s="1"/>
  <c r="AG818" i="1"/>
  <c r="AH818" i="1" s="1"/>
  <c r="AI818" i="1" s="1"/>
  <c r="AG819" i="1"/>
  <c r="AH819" i="1" s="1"/>
  <c r="AI819" i="1" s="1"/>
  <c r="AG820" i="1"/>
  <c r="AH820" i="1" s="1"/>
  <c r="AI820" i="1" s="1"/>
  <c r="AG821" i="1"/>
  <c r="AH821" i="1" s="1"/>
  <c r="AG822" i="1"/>
  <c r="AH822" i="1" s="1"/>
  <c r="AI822" i="1" s="1"/>
  <c r="AG823" i="1"/>
  <c r="AH823" i="1" s="1"/>
  <c r="AI823" i="1" s="1"/>
  <c r="AG824" i="1"/>
  <c r="AG825" i="1"/>
  <c r="AH825" i="1" s="1"/>
  <c r="AI825" i="1" s="1"/>
  <c r="AG826" i="1"/>
  <c r="AH826" i="1" s="1"/>
  <c r="AI826" i="1" s="1"/>
  <c r="AG827" i="1"/>
  <c r="AH827" i="1" s="1"/>
  <c r="AI827" i="1" s="1"/>
  <c r="AG828" i="1"/>
  <c r="AH828" i="1" s="1"/>
  <c r="AI828" i="1" s="1"/>
  <c r="AG829" i="1"/>
  <c r="AH829" i="1" s="1"/>
  <c r="AI829" i="1" s="1"/>
  <c r="AG830" i="1"/>
  <c r="AH830" i="1" s="1"/>
  <c r="AI830" i="1" s="1"/>
  <c r="AG831" i="1"/>
  <c r="AH831" i="1" s="1"/>
  <c r="AI831" i="1" s="1"/>
  <c r="AG832" i="1"/>
  <c r="AH832" i="1" s="1"/>
  <c r="AI832" i="1" s="1"/>
  <c r="AG833" i="1"/>
  <c r="AH833" i="1" s="1"/>
  <c r="AI833" i="1" s="1"/>
  <c r="AG834" i="1"/>
  <c r="AH834" i="1" s="1"/>
  <c r="AI834" i="1" s="1"/>
  <c r="AG835" i="1"/>
  <c r="AH835" i="1" s="1"/>
  <c r="AI835" i="1" s="1"/>
  <c r="AG836" i="1"/>
  <c r="AH836" i="1" s="1"/>
  <c r="AI836" i="1" s="1"/>
  <c r="AG837" i="1"/>
  <c r="AH837" i="1" s="1"/>
  <c r="AI837" i="1" s="1"/>
  <c r="AG838" i="1"/>
  <c r="AH838" i="1" s="1"/>
  <c r="AI838" i="1" s="1"/>
  <c r="AG839" i="1"/>
  <c r="AH839" i="1" s="1"/>
  <c r="AI839" i="1" s="1"/>
  <c r="AG840" i="1"/>
  <c r="AH840" i="1" s="1"/>
  <c r="AI840" i="1" s="1"/>
  <c r="AG841" i="1"/>
  <c r="AH841" i="1" s="1"/>
  <c r="AI841" i="1" s="1"/>
  <c r="AG842" i="1"/>
  <c r="AH842" i="1" s="1"/>
  <c r="AI842" i="1" s="1"/>
  <c r="AG843" i="1"/>
  <c r="AH843" i="1" s="1"/>
  <c r="AI843" i="1" s="1"/>
  <c r="AG844" i="1"/>
  <c r="AH844" i="1" s="1"/>
  <c r="AI844" i="1" s="1"/>
  <c r="AG845" i="1"/>
  <c r="AH845" i="1" s="1"/>
  <c r="AI845" i="1" s="1"/>
  <c r="AG846" i="1"/>
  <c r="AH846" i="1" s="1"/>
  <c r="AI846" i="1" s="1"/>
  <c r="AG847" i="1"/>
  <c r="AH847" i="1" s="1"/>
  <c r="AI847" i="1" s="1"/>
  <c r="AG848" i="1"/>
  <c r="AH848" i="1" s="1"/>
  <c r="AI848" i="1" s="1"/>
  <c r="AG849" i="1"/>
  <c r="AH849" i="1" s="1"/>
  <c r="AG850" i="1"/>
  <c r="AH850" i="1" s="1"/>
  <c r="AI850" i="1" s="1"/>
  <c r="AG851" i="1"/>
  <c r="AH851" i="1" s="1"/>
  <c r="AI851" i="1" s="1"/>
  <c r="AG852" i="1"/>
  <c r="AH852" i="1" s="1"/>
  <c r="AI852" i="1" s="1"/>
  <c r="AG853" i="1"/>
  <c r="AH853" i="1" s="1"/>
  <c r="AI853" i="1" s="1"/>
  <c r="AG854" i="1"/>
  <c r="AH854" i="1" s="1"/>
  <c r="AI854" i="1" s="1"/>
  <c r="AG855" i="1"/>
  <c r="AH855" i="1" s="1"/>
  <c r="AI855" i="1" s="1"/>
  <c r="AG856" i="1"/>
  <c r="AH856" i="1" s="1"/>
  <c r="AI856" i="1" s="1"/>
  <c r="AG857" i="1"/>
  <c r="AH857" i="1" s="1"/>
  <c r="AI857" i="1" s="1"/>
  <c r="AG858" i="1"/>
  <c r="AH858" i="1" s="1"/>
  <c r="AI858" i="1" s="1"/>
  <c r="AG859" i="1"/>
  <c r="AH859" i="1" s="1"/>
  <c r="AG860" i="1"/>
  <c r="AH860" i="1" s="1"/>
  <c r="AI860" i="1" s="1"/>
  <c r="AG861" i="1"/>
  <c r="AH861" i="1" s="1"/>
  <c r="AI861" i="1" s="1"/>
  <c r="AG862" i="1"/>
  <c r="AH862" i="1" s="1"/>
  <c r="AI862" i="1" s="1"/>
  <c r="AG863" i="1"/>
  <c r="AH863" i="1" s="1"/>
  <c r="AI863" i="1" s="1"/>
  <c r="AG864" i="1"/>
  <c r="AH864" i="1" s="1"/>
  <c r="AI864" i="1" s="1"/>
  <c r="AG865" i="1"/>
  <c r="AH865" i="1" s="1"/>
  <c r="AI865" i="1" s="1"/>
  <c r="AG866" i="1"/>
  <c r="AH866" i="1" s="1"/>
  <c r="AI866" i="1" s="1"/>
  <c r="AG867" i="1"/>
  <c r="AH867" i="1" s="1"/>
  <c r="AI867" i="1" s="1"/>
  <c r="AG868" i="1"/>
  <c r="AH868" i="1" s="1"/>
  <c r="AI868" i="1" s="1"/>
  <c r="AG869" i="1"/>
  <c r="AH869" i="1" s="1"/>
  <c r="AI869" i="1" s="1"/>
  <c r="AG870" i="1"/>
  <c r="AH870" i="1" s="1"/>
  <c r="AI870" i="1" s="1"/>
  <c r="AG871" i="1"/>
  <c r="AH871" i="1" s="1"/>
  <c r="AI871" i="1" s="1"/>
  <c r="AG872" i="1"/>
  <c r="AH872" i="1" s="1"/>
  <c r="AI872" i="1" s="1"/>
  <c r="AG873" i="1"/>
  <c r="AH873" i="1" s="1"/>
  <c r="AI873" i="1" s="1"/>
  <c r="AG874" i="1"/>
  <c r="AH874" i="1" s="1"/>
  <c r="AI874" i="1" s="1"/>
  <c r="AG875" i="1"/>
  <c r="AH875" i="1" s="1"/>
  <c r="AI875" i="1" s="1"/>
  <c r="AG876" i="1"/>
  <c r="AH876" i="1" s="1"/>
  <c r="AI876" i="1" s="1"/>
  <c r="AG877" i="1"/>
  <c r="AH877" i="1" s="1"/>
  <c r="AI877" i="1" s="1"/>
  <c r="AG878" i="1"/>
  <c r="AH878" i="1" s="1"/>
  <c r="AI878" i="1" s="1"/>
  <c r="AG879" i="1"/>
  <c r="AH879" i="1" s="1"/>
  <c r="AI879" i="1" s="1"/>
  <c r="AG880" i="1"/>
  <c r="AH880" i="1" s="1"/>
  <c r="AI880" i="1" s="1"/>
  <c r="AG881" i="1"/>
  <c r="AH881" i="1" s="1"/>
  <c r="AI881" i="1" s="1"/>
  <c r="AG882" i="1"/>
  <c r="AH882" i="1" s="1"/>
  <c r="AI882" i="1" s="1"/>
  <c r="AG883" i="1"/>
  <c r="AH883" i="1" s="1"/>
  <c r="AI883" i="1" s="1"/>
  <c r="AG884" i="1"/>
  <c r="AH884" i="1" s="1"/>
  <c r="AI884" i="1" s="1"/>
  <c r="AG885" i="1"/>
  <c r="AH885" i="1" s="1"/>
  <c r="AI885" i="1" s="1"/>
  <c r="AG886" i="1"/>
  <c r="AH886" i="1" s="1"/>
  <c r="AI886" i="1" s="1"/>
  <c r="AG887" i="1"/>
  <c r="AH887" i="1" s="1"/>
  <c r="AI887" i="1" s="1"/>
  <c r="AG888" i="1"/>
  <c r="AG889" i="1"/>
  <c r="AH889" i="1" s="1"/>
  <c r="AI889" i="1" s="1"/>
  <c r="AG890" i="1"/>
  <c r="AH890" i="1" s="1"/>
  <c r="AI890" i="1" s="1"/>
  <c r="AG891" i="1"/>
  <c r="AH891" i="1" s="1"/>
  <c r="AI891" i="1" s="1"/>
  <c r="AG892" i="1"/>
  <c r="AH892" i="1" s="1"/>
  <c r="AI892" i="1" s="1"/>
  <c r="AG893" i="1"/>
  <c r="AH893" i="1" s="1"/>
  <c r="AI893" i="1" s="1"/>
  <c r="AG894" i="1"/>
  <c r="AH894" i="1" s="1"/>
  <c r="AI894" i="1" s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5" i="1"/>
  <c r="AG6" i="1"/>
  <c r="AG7" i="1"/>
  <c r="AG8" i="1"/>
  <c r="AG4" i="1"/>
  <c r="AG998" i="1"/>
  <c r="AH3" i="1"/>
  <c r="AI3" i="1" s="1"/>
  <c r="AH895" i="1"/>
  <c r="AI895" i="1" s="1"/>
  <c r="AH896" i="1"/>
  <c r="AI896" i="1" s="1"/>
  <c r="AH897" i="1"/>
  <c r="AI897" i="1" s="1"/>
  <c r="AH898" i="1"/>
  <c r="AI898" i="1" s="1"/>
  <c r="AH899" i="1"/>
  <c r="AI899" i="1" s="1"/>
  <c r="AH900" i="1"/>
  <c r="AI900" i="1" s="1"/>
  <c r="AH901" i="1"/>
  <c r="AI901" i="1" s="1"/>
  <c r="AH902" i="1"/>
  <c r="AI902" i="1" s="1"/>
  <c r="AH903" i="1"/>
  <c r="AI903" i="1" s="1"/>
  <c r="AH904" i="1"/>
  <c r="AI904" i="1" s="1"/>
  <c r="AH905" i="1"/>
  <c r="AI905" i="1" s="1"/>
  <c r="AH906" i="1"/>
  <c r="AI906" i="1" s="1"/>
  <c r="AH907" i="1"/>
  <c r="AI907" i="1" s="1"/>
  <c r="AH908" i="1"/>
  <c r="AI908" i="1" s="1"/>
  <c r="AH909" i="1"/>
  <c r="AI909" i="1" s="1"/>
  <c r="AH910" i="1"/>
  <c r="AI910" i="1" s="1"/>
  <c r="AH911" i="1"/>
  <c r="AI911" i="1" s="1"/>
  <c r="AH912" i="1"/>
  <c r="AI912" i="1" s="1"/>
  <c r="AH913" i="1"/>
  <c r="AI913" i="1" s="1"/>
  <c r="AH914" i="1"/>
  <c r="AI914" i="1" s="1"/>
  <c r="AH915" i="1"/>
  <c r="AH916" i="1"/>
  <c r="AI916" i="1" s="1"/>
  <c r="AH917" i="1"/>
  <c r="AI917" i="1" s="1"/>
  <c r="AH918" i="1"/>
  <c r="AI918" i="1" s="1"/>
  <c r="AH919" i="1"/>
  <c r="AI919" i="1" s="1"/>
  <c r="AH920" i="1"/>
  <c r="AI920" i="1" s="1"/>
  <c r="AH921" i="1"/>
  <c r="AH922" i="1"/>
  <c r="AI922" i="1" s="1"/>
  <c r="AH923" i="1"/>
  <c r="AI923" i="1" s="1"/>
  <c r="AH924" i="1"/>
  <c r="AI924" i="1" s="1"/>
  <c r="AH925" i="1"/>
  <c r="AI925" i="1" s="1"/>
  <c r="AH926" i="1"/>
  <c r="AI926" i="1" s="1"/>
  <c r="AH927" i="1"/>
  <c r="AI927" i="1" s="1"/>
  <c r="AH928" i="1"/>
  <c r="AI928" i="1" s="1"/>
  <c r="AH929" i="1"/>
  <c r="AI929" i="1" s="1"/>
  <c r="AH930" i="1"/>
  <c r="AI930" i="1" s="1"/>
  <c r="AH931" i="1"/>
  <c r="AI931" i="1" s="1"/>
  <c r="AH932" i="1"/>
  <c r="AI932" i="1" s="1"/>
  <c r="AH933" i="1"/>
  <c r="AI933" i="1" s="1"/>
  <c r="AH934" i="1"/>
  <c r="AI934" i="1" s="1"/>
  <c r="AH935" i="1"/>
  <c r="AI935" i="1" s="1"/>
  <c r="AH936" i="1"/>
  <c r="AI936" i="1" s="1"/>
  <c r="AH937" i="1"/>
  <c r="AI937" i="1" s="1"/>
  <c r="AH938" i="1"/>
  <c r="AI938" i="1" s="1"/>
  <c r="AH939" i="1"/>
  <c r="AI939" i="1" s="1"/>
  <c r="AH940" i="1"/>
  <c r="AI940" i="1" s="1"/>
  <c r="AH941" i="1"/>
  <c r="AI941" i="1" s="1"/>
  <c r="AH942" i="1"/>
  <c r="AI942" i="1" s="1"/>
  <c r="AH943" i="1"/>
  <c r="AI943" i="1" s="1"/>
  <c r="AH944" i="1"/>
  <c r="AI944" i="1" s="1"/>
  <c r="AH945" i="1"/>
  <c r="AI945" i="1" s="1"/>
  <c r="AH946" i="1"/>
  <c r="AI946" i="1" s="1"/>
  <c r="AH947" i="1"/>
  <c r="AI947" i="1" s="1"/>
  <c r="AH948" i="1"/>
  <c r="AI948" i="1" s="1"/>
  <c r="AH949" i="1"/>
  <c r="AI949" i="1" s="1"/>
  <c r="AH950" i="1"/>
  <c r="AI950" i="1" s="1"/>
  <c r="AH951" i="1"/>
  <c r="AI951" i="1" s="1"/>
  <c r="AH952" i="1"/>
  <c r="AI952" i="1" s="1"/>
  <c r="AH953" i="1"/>
  <c r="AI953" i="1" s="1"/>
  <c r="AH954" i="1"/>
  <c r="AI954" i="1" s="1"/>
  <c r="AH955" i="1"/>
  <c r="AI955" i="1" s="1"/>
  <c r="AH956" i="1"/>
  <c r="AI956" i="1" s="1"/>
  <c r="AH957" i="1"/>
  <c r="AH958" i="1"/>
  <c r="AI958" i="1" s="1"/>
  <c r="AH959" i="1"/>
  <c r="AI959" i="1" s="1"/>
  <c r="AH960" i="1"/>
  <c r="AI960" i="1" s="1"/>
  <c r="AH961" i="1"/>
  <c r="AI961" i="1" s="1"/>
  <c r="AH962" i="1"/>
  <c r="AI962" i="1" s="1"/>
  <c r="AH963" i="1"/>
  <c r="AI963" i="1" s="1"/>
  <c r="AH964" i="1"/>
  <c r="AI964" i="1" s="1"/>
  <c r="AH965" i="1"/>
  <c r="AI965" i="1" s="1"/>
  <c r="AH966" i="1"/>
  <c r="AI966" i="1" s="1"/>
  <c r="AH967" i="1"/>
  <c r="AI967" i="1" s="1"/>
  <c r="AH968" i="1"/>
  <c r="AI968" i="1" s="1"/>
  <c r="AH969" i="1"/>
  <c r="AI969" i="1" s="1"/>
  <c r="AH970" i="1"/>
  <c r="AI970" i="1" s="1"/>
  <c r="AH971" i="1"/>
  <c r="AI971" i="1" s="1"/>
  <c r="AH972" i="1"/>
  <c r="AI972" i="1" s="1"/>
  <c r="AH973" i="1"/>
  <c r="AI973" i="1" s="1"/>
  <c r="AH974" i="1"/>
  <c r="AI974" i="1" s="1"/>
  <c r="AH975" i="1"/>
  <c r="AH976" i="1"/>
  <c r="AI976" i="1" s="1"/>
  <c r="AH977" i="1"/>
  <c r="AH978" i="1"/>
  <c r="AI978" i="1" s="1"/>
  <c r="AH979" i="1"/>
  <c r="AI979" i="1" s="1"/>
  <c r="AH980" i="1"/>
  <c r="AI980" i="1" s="1"/>
  <c r="AH981" i="1"/>
  <c r="AI981" i="1" s="1"/>
  <c r="AH982" i="1"/>
  <c r="AI982" i="1" s="1"/>
  <c r="AH983" i="1"/>
  <c r="AI983" i="1" s="1"/>
  <c r="AH984" i="1"/>
  <c r="AI984" i="1" s="1"/>
  <c r="AH985" i="1"/>
  <c r="AI985" i="1" s="1"/>
  <c r="AH986" i="1"/>
  <c r="AI986" i="1" s="1"/>
  <c r="AH987" i="1"/>
  <c r="AI987" i="1" s="1"/>
  <c r="AH988" i="1"/>
  <c r="AI988" i="1" s="1"/>
  <c r="AH989" i="1"/>
  <c r="AI989" i="1" s="1"/>
  <c r="AH990" i="1"/>
  <c r="AI990" i="1" s="1"/>
  <c r="AH991" i="1"/>
  <c r="AI991" i="1" s="1"/>
  <c r="AH992" i="1"/>
  <c r="AI992" i="1" s="1"/>
  <c r="AH993" i="1"/>
  <c r="AI993" i="1" s="1"/>
  <c r="AH994" i="1"/>
  <c r="AI994" i="1" s="1"/>
  <c r="AH995" i="1"/>
  <c r="AI995" i="1" s="1"/>
  <c r="AH996" i="1"/>
  <c r="AI996" i="1" s="1"/>
  <c r="AH997" i="1"/>
  <c r="AI997" i="1" s="1"/>
  <c r="AH998" i="1"/>
  <c r="AI998" i="1" s="1"/>
  <c r="AH48" i="1"/>
  <c r="AI48" i="1" s="1"/>
  <c r="AH56" i="1"/>
  <c r="AI56" i="1" s="1"/>
  <c r="AH65" i="1"/>
  <c r="AI65" i="1" s="1"/>
  <c r="AH71" i="1"/>
  <c r="AI71" i="1" s="1"/>
  <c r="AH76" i="1"/>
  <c r="AI76" i="1" s="1"/>
  <c r="AH84" i="1"/>
  <c r="AI84" i="1" s="1"/>
  <c r="AH88" i="1"/>
  <c r="AI88" i="1" s="1"/>
  <c r="AH90" i="1"/>
  <c r="AI90" i="1" s="1"/>
  <c r="AH108" i="1"/>
  <c r="AI108" i="1" s="1"/>
  <c r="AH113" i="1"/>
  <c r="AI113" i="1" s="1"/>
  <c r="AH125" i="1"/>
  <c r="AI125" i="1" s="1"/>
  <c r="AH126" i="1"/>
  <c r="AI126" i="1" s="1"/>
  <c r="AH131" i="1"/>
  <c r="AI131" i="1" s="1"/>
  <c r="AH132" i="1"/>
  <c r="AI132" i="1" s="1"/>
  <c r="AH145" i="1"/>
  <c r="AI145" i="1" s="1"/>
  <c r="AH148" i="1"/>
  <c r="AI148" i="1" s="1"/>
  <c r="AH154" i="1"/>
  <c r="AI154" i="1" s="1"/>
  <c r="AH167" i="1"/>
  <c r="AI167" i="1" s="1"/>
  <c r="AH168" i="1"/>
  <c r="AI168" i="1" s="1"/>
  <c r="AH172" i="1"/>
  <c r="AI172" i="1" s="1"/>
  <c r="AH173" i="1"/>
  <c r="AI173" i="1" s="1"/>
  <c r="AH174" i="1"/>
  <c r="AI174" i="1" s="1"/>
  <c r="AH175" i="1"/>
  <c r="AI175" i="1" s="1"/>
  <c r="AH186" i="1"/>
  <c r="AI186" i="1" s="1"/>
  <c r="AH191" i="1"/>
  <c r="AI191" i="1" s="1"/>
  <c r="AH196" i="1"/>
  <c r="AI196" i="1" s="1"/>
  <c r="AH210" i="1"/>
  <c r="AI210" i="1" s="1"/>
  <c r="AH211" i="1"/>
  <c r="AI211" i="1" s="1"/>
  <c r="AH214" i="1"/>
  <c r="AI214" i="1" s="1"/>
  <c r="AH215" i="1"/>
  <c r="AI215" i="1" s="1"/>
  <c r="AH216" i="1"/>
  <c r="AI216" i="1" s="1"/>
  <c r="W228" i="1"/>
  <c r="AH228" i="1" s="1"/>
  <c r="AI228" i="1" s="1"/>
  <c r="W229" i="1"/>
  <c r="W230" i="1"/>
  <c r="AH230" i="1" s="1"/>
  <c r="AI230" i="1" s="1"/>
  <c r="W231" i="1"/>
  <c r="W232" i="1"/>
  <c r="W233" i="1"/>
  <c r="AH233" i="1" s="1"/>
  <c r="AI233" i="1" s="1"/>
  <c r="W234" i="1"/>
  <c r="W235" i="1"/>
  <c r="AH235" i="1" s="1"/>
  <c r="AI235" i="1" s="1"/>
  <c r="W236" i="1"/>
  <c r="W237" i="1"/>
  <c r="W238" i="1"/>
  <c r="W239" i="1"/>
  <c r="W240" i="1"/>
  <c r="W241" i="1"/>
  <c r="W242" i="1"/>
  <c r="W243" i="1"/>
  <c r="W244" i="1"/>
  <c r="W245" i="1"/>
  <c r="AH245" i="1" s="1"/>
  <c r="AI245" i="1" s="1"/>
  <c r="W246" i="1"/>
  <c r="W247" i="1"/>
  <c r="AH247" i="1" s="1"/>
  <c r="AI247" i="1" s="1"/>
  <c r="W248" i="1"/>
  <c r="W249" i="1"/>
  <c r="W250" i="1"/>
  <c r="W251" i="1"/>
  <c r="AH251" i="1" s="1"/>
  <c r="AI251" i="1" s="1"/>
  <c r="W252" i="1"/>
  <c r="AH252" i="1" s="1"/>
  <c r="AI252" i="1" s="1"/>
  <c r="W253" i="1"/>
  <c r="W254" i="1"/>
  <c r="W255" i="1"/>
  <c r="W256" i="1"/>
  <c r="AH256" i="1" s="1"/>
  <c r="AI256" i="1" s="1"/>
  <c r="W257" i="1"/>
  <c r="W258" i="1"/>
  <c r="W259" i="1"/>
  <c r="W260" i="1"/>
  <c r="W261" i="1"/>
  <c r="W262" i="1"/>
  <c r="W263" i="1"/>
  <c r="W264" i="1"/>
  <c r="W265" i="1"/>
  <c r="W266" i="1"/>
  <c r="AH266" i="1" s="1"/>
  <c r="AI266" i="1" s="1"/>
  <c r="W267" i="1"/>
  <c r="W268" i="1"/>
  <c r="AH268" i="1" s="1"/>
  <c r="AI268" i="1" s="1"/>
  <c r="W269" i="1"/>
  <c r="W270" i="1"/>
  <c r="AH270" i="1" s="1"/>
  <c r="AI270" i="1" s="1"/>
  <c r="W271" i="1"/>
  <c r="AH271" i="1" s="1"/>
  <c r="AI271" i="1" s="1"/>
  <c r="W272" i="1"/>
  <c r="W273" i="1"/>
  <c r="AH273" i="1" s="1"/>
  <c r="AI273" i="1" s="1"/>
  <c r="W274" i="1"/>
  <c r="W275" i="1"/>
  <c r="AH275" i="1" s="1"/>
  <c r="AI275" i="1" s="1"/>
  <c r="W276" i="1"/>
  <c r="W277" i="1"/>
  <c r="W278" i="1"/>
  <c r="W279" i="1"/>
  <c r="W280" i="1"/>
  <c r="W281" i="1"/>
  <c r="W282" i="1"/>
  <c r="W283" i="1"/>
  <c r="W284" i="1"/>
  <c r="W285" i="1"/>
  <c r="AH285" i="1" s="1"/>
  <c r="AI285" i="1" s="1"/>
  <c r="W286" i="1"/>
  <c r="W287" i="1"/>
  <c r="AH287" i="1" s="1"/>
  <c r="AI287" i="1" s="1"/>
  <c r="W288" i="1"/>
  <c r="W289" i="1"/>
  <c r="W290" i="1"/>
  <c r="W291" i="1"/>
  <c r="W292" i="1"/>
  <c r="AH292" i="1" s="1"/>
  <c r="AI292" i="1" s="1"/>
  <c r="W293" i="1"/>
  <c r="AH293" i="1" s="1"/>
  <c r="W294" i="1"/>
  <c r="AH294" i="1" s="1"/>
  <c r="AI294" i="1" s="1"/>
  <c r="W295" i="1"/>
  <c r="AH295" i="1" s="1"/>
  <c r="AI295" i="1" s="1"/>
  <c r="W296" i="1"/>
  <c r="W297" i="1"/>
  <c r="W298" i="1"/>
  <c r="W299" i="1"/>
  <c r="W300" i="1"/>
  <c r="W301" i="1"/>
  <c r="W302" i="1"/>
  <c r="W303" i="1"/>
  <c r="W304" i="1"/>
  <c r="W305" i="1"/>
  <c r="AH305" i="1" s="1"/>
  <c r="AI305" i="1" s="1"/>
  <c r="W306" i="1"/>
  <c r="AH306" i="1" s="1"/>
  <c r="AI306" i="1" s="1"/>
  <c r="W307" i="1"/>
  <c r="AH307" i="1" s="1"/>
  <c r="AI307" i="1" s="1"/>
  <c r="W308" i="1"/>
  <c r="W309" i="1"/>
  <c r="W310" i="1"/>
  <c r="W311" i="1"/>
  <c r="AH311" i="1" s="1"/>
  <c r="AI311" i="1" s="1"/>
  <c r="W312" i="1"/>
  <c r="AH312" i="1" s="1"/>
  <c r="AI312" i="1" s="1"/>
  <c r="W313" i="1"/>
  <c r="W314" i="1"/>
  <c r="AH314" i="1" s="1"/>
  <c r="AI314" i="1" s="1"/>
  <c r="W315" i="1"/>
  <c r="W316" i="1"/>
  <c r="W317" i="1"/>
  <c r="W318" i="1"/>
  <c r="W319" i="1"/>
  <c r="W320" i="1"/>
  <c r="W321" i="1"/>
  <c r="W322" i="1"/>
  <c r="W323" i="1"/>
  <c r="W324" i="1"/>
  <c r="W325" i="1"/>
  <c r="W326" i="1"/>
  <c r="AH326" i="1" s="1"/>
  <c r="AI326" i="1" s="1"/>
  <c r="W327" i="1"/>
  <c r="W328" i="1"/>
  <c r="AH328" i="1" s="1"/>
  <c r="AI328" i="1" s="1"/>
  <c r="W329" i="1"/>
  <c r="W330" i="1"/>
  <c r="W331" i="1"/>
  <c r="AH331" i="1" s="1"/>
  <c r="AI331" i="1" s="1"/>
  <c r="W332" i="1"/>
  <c r="W333" i="1"/>
  <c r="AH333" i="1" s="1"/>
  <c r="AI333" i="1" s="1"/>
  <c r="W334" i="1"/>
  <c r="W335" i="1"/>
  <c r="AH335" i="1" s="1"/>
  <c r="AI335" i="1" s="1"/>
  <c r="W336" i="1"/>
  <c r="AH336" i="1" s="1"/>
  <c r="AI336" i="1" s="1"/>
  <c r="W337" i="1"/>
  <c r="W338" i="1"/>
  <c r="W339" i="1"/>
  <c r="W340" i="1"/>
  <c r="W341" i="1"/>
  <c r="W342" i="1"/>
  <c r="W343" i="1"/>
  <c r="W344" i="1"/>
  <c r="W345" i="1"/>
  <c r="AH345" i="1" s="1"/>
  <c r="AI345" i="1" s="1"/>
  <c r="W346" i="1"/>
  <c r="W347" i="1"/>
  <c r="AH347" i="1" s="1"/>
  <c r="AI347" i="1" s="1"/>
  <c r="W348" i="1"/>
  <c r="AH348" i="1" s="1"/>
  <c r="AI348" i="1" s="1"/>
  <c r="W349" i="1"/>
  <c r="W350" i="1"/>
  <c r="AH350" i="1" s="1"/>
  <c r="AI350" i="1" s="1"/>
  <c r="W351" i="1"/>
  <c r="W352" i="1"/>
  <c r="W353" i="1"/>
  <c r="AH353" i="1" s="1"/>
  <c r="AI353" i="1" s="1"/>
  <c r="W354" i="1"/>
  <c r="AH354" i="1" s="1"/>
  <c r="AI354" i="1" s="1"/>
  <c r="W355" i="1"/>
  <c r="AH355" i="1" s="1"/>
  <c r="AI355" i="1" s="1"/>
  <c r="W356" i="1"/>
  <c r="W357" i="1"/>
  <c r="W358" i="1"/>
  <c r="W359" i="1"/>
  <c r="W360" i="1"/>
  <c r="W361" i="1"/>
  <c r="W362" i="1"/>
  <c r="W363" i="1"/>
  <c r="W364" i="1"/>
  <c r="AH364" i="1" s="1"/>
  <c r="AI364" i="1" s="1"/>
  <c r="W365" i="1"/>
  <c r="AH365" i="1" s="1"/>
  <c r="AI365" i="1" s="1"/>
  <c r="W366" i="1"/>
  <c r="AH366" i="1" s="1"/>
  <c r="AI366" i="1" s="1"/>
  <c r="W367" i="1"/>
  <c r="AH367" i="1" s="1"/>
  <c r="AI367" i="1" s="1"/>
  <c r="W368" i="1"/>
  <c r="W369" i="1"/>
  <c r="W370" i="1"/>
  <c r="W371" i="1"/>
  <c r="AH371" i="1" s="1"/>
  <c r="AI371" i="1" s="1"/>
  <c r="W372" i="1"/>
  <c r="W373" i="1"/>
  <c r="W374" i="1"/>
  <c r="W375" i="1"/>
  <c r="W376" i="1"/>
  <c r="AH376" i="1" s="1"/>
  <c r="W377" i="1"/>
  <c r="W378" i="1"/>
  <c r="W379" i="1"/>
  <c r="W380" i="1"/>
  <c r="W381" i="1"/>
  <c r="W382" i="1"/>
  <c r="W383" i="1"/>
  <c r="W384" i="1"/>
  <c r="W385" i="1"/>
  <c r="W386" i="1"/>
  <c r="W387" i="1"/>
  <c r="W388" i="1"/>
  <c r="AH388" i="1" s="1"/>
  <c r="AI388" i="1" s="1"/>
  <c r="W389" i="1"/>
  <c r="W390" i="1"/>
  <c r="AH390" i="1" s="1"/>
  <c r="AI390" i="1" s="1"/>
  <c r="W391" i="1"/>
  <c r="AH391" i="1" s="1"/>
  <c r="AI391" i="1" s="1"/>
  <c r="W392" i="1"/>
  <c r="W393" i="1"/>
  <c r="AH393" i="1" s="1"/>
  <c r="AI393" i="1" s="1"/>
  <c r="W394" i="1"/>
  <c r="W395" i="1"/>
  <c r="AH395" i="1" s="1"/>
  <c r="AI395" i="1" s="1"/>
  <c r="W396" i="1"/>
  <c r="AH396" i="1" s="1"/>
  <c r="AI396" i="1" s="1"/>
  <c r="W397" i="1"/>
  <c r="W398" i="1"/>
  <c r="W399" i="1"/>
  <c r="W400" i="1"/>
  <c r="W401" i="1"/>
  <c r="W402" i="1"/>
  <c r="W403" i="1"/>
  <c r="W404" i="1"/>
  <c r="W405" i="1"/>
  <c r="AH405" i="1" s="1"/>
  <c r="AI405" i="1" s="1"/>
  <c r="W406" i="1"/>
  <c r="W407" i="1"/>
  <c r="AH407" i="1" s="1"/>
  <c r="AI407" i="1" s="1"/>
  <c r="W408" i="1"/>
  <c r="AH408" i="1" s="1"/>
  <c r="AI408" i="1" s="1"/>
  <c r="W409" i="1"/>
  <c r="W410" i="1"/>
  <c r="AH410" i="1" s="1"/>
  <c r="AI410" i="1" s="1"/>
  <c r="W411" i="1"/>
  <c r="W412" i="1"/>
  <c r="AH412" i="1" s="1"/>
  <c r="AI412" i="1" s="1"/>
  <c r="W413" i="1"/>
  <c r="AH413" i="1" s="1"/>
  <c r="AI413" i="1" s="1"/>
  <c r="W414" i="1"/>
  <c r="W415" i="1"/>
  <c r="AH415" i="1" s="1"/>
  <c r="AI415" i="1" s="1"/>
  <c r="W416" i="1"/>
  <c r="W417" i="1"/>
  <c r="W418" i="1"/>
  <c r="W419" i="1"/>
  <c r="W420" i="1"/>
  <c r="W421" i="1"/>
  <c r="W422" i="1"/>
  <c r="W423" i="1"/>
  <c r="W424" i="1"/>
  <c r="W425" i="1"/>
  <c r="AH425" i="1" s="1"/>
  <c r="AI425" i="1" s="1"/>
  <c r="W426" i="1"/>
  <c r="AH426" i="1" s="1"/>
  <c r="AI426" i="1" s="1"/>
  <c r="W427" i="1"/>
  <c r="AH427" i="1" s="1"/>
  <c r="AI427" i="1" s="1"/>
  <c r="W428" i="1"/>
  <c r="W429" i="1"/>
  <c r="W430" i="1"/>
  <c r="W431" i="1"/>
  <c r="AH431" i="1" s="1"/>
  <c r="AI431" i="1" s="1"/>
  <c r="W432" i="1"/>
  <c r="AH432" i="1" s="1"/>
  <c r="AI432" i="1" s="1"/>
  <c r="W433" i="1"/>
  <c r="W434" i="1"/>
  <c r="AH434" i="1" s="1"/>
  <c r="AI434" i="1" s="1"/>
  <c r="W435" i="1"/>
  <c r="W436" i="1"/>
  <c r="W437" i="1"/>
  <c r="W438" i="1"/>
  <c r="W439" i="1"/>
  <c r="W440" i="1"/>
  <c r="W441" i="1"/>
  <c r="W442" i="1"/>
  <c r="W443" i="1"/>
  <c r="W444" i="1"/>
  <c r="W445" i="1"/>
  <c r="W446" i="1"/>
  <c r="AH446" i="1" s="1"/>
  <c r="AI446" i="1" s="1"/>
  <c r="W447" i="1"/>
  <c r="W448" i="1"/>
  <c r="AH448" i="1" s="1"/>
  <c r="AI448" i="1" s="1"/>
  <c r="W449" i="1"/>
  <c r="W450" i="1"/>
  <c r="W451" i="1"/>
  <c r="AH451" i="1" s="1"/>
  <c r="AI451" i="1" s="1"/>
  <c r="W452" i="1"/>
  <c r="W453" i="1"/>
  <c r="AH453" i="1" s="1"/>
  <c r="AI453" i="1" s="1"/>
  <c r="W454" i="1"/>
  <c r="W455" i="1"/>
  <c r="AH455" i="1" s="1"/>
  <c r="AI455" i="1" s="1"/>
  <c r="W456" i="1"/>
  <c r="W457" i="1"/>
  <c r="W458" i="1"/>
  <c r="W459" i="1"/>
  <c r="W460" i="1"/>
  <c r="W461" i="1"/>
  <c r="W462" i="1"/>
  <c r="W463" i="1"/>
  <c r="W464" i="1"/>
  <c r="W465" i="1"/>
  <c r="AH465" i="1" s="1"/>
  <c r="AI465" i="1" s="1"/>
  <c r="W466" i="1"/>
  <c r="W467" i="1"/>
  <c r="AH467" i="1" s="1"/>
  <c r="AI467" i="1" s="1"/>
  <c r="W468" i="1"/>
  <c r="AH468" i="1" s="1"/>
  <c r="AI468" i="1" s="1"/>
  <c r="W469" i="1"/>
  <c r="W470" i="1"/>
  <c r="W471" i="1"/>
  <c r="W472" i="1"/>
  <c r="W473" i="1"/>
  <c r="AH473" i="1" s="1"/>
  <c r="AI473" i="1" s="1"/>
  <c r="W474" i="1"/>
  <c r="AH474" i="1" s="1"/>
  <c r="AI474" i="1" s="1"/>
  <c r="W475" i="1"/>
  <c r="AH475" i="1" s="1"/>
  <c r="AI475" i="1" s="1"/>
  <c r="W476" i="1"/>
  <c r="W477" i="1"/>
  <c r="W478" i="1"/>
  <c r="W479" i="1"/>
  <c r="W480" i="1"/>
  <c r="W481" i="1"/>
  <c r="W482" i="1"/>
  <c r="W483" i="1"/>
  <c r="W484" i="1"/>
  <c r="W485" i="1"/>
  <c r="AH485" i="1" s="1"/>
  <c r="AI485" i="1" s="1"/>
  <c r="W486" i="1"/>
  <c r="AH486" i="1" s="1"/>
  <c r="AI486" i="1" s="1"/>
  <c r="W487" i="1"/>
  <c r="AH487" i="1" s="1"/>
  <c r="AI487" i="1" s="1"/>
  <c r="W488" i="1"/>
  <c r="W489" i="1"/>
  <c r="W490" i="1"/>
  <c r="W491" i="1"/>
  <c r="AH491" i="1" s="1"/>
  <c r="AI491" i="1" s="1"/>
  <c r="W492" i="1"/>
  <c r="W493" i="1"/>
  <c r="W494" i="1"/>
  <c r="AH494" i="1" s="1"/>
  <c r="AI494" i="1" s="1"/>
  <c r="W495" i="1"/>
  <c r="W496" i="1"/>
  <c r="AH496" i="1" s="1"/>
  <c r="AI496" i="1" s="1"/>
  <c r="W497" i="1"/>
  <c r="W498" i="1"/>
  <c r="W499" i="1"/>
  <c r="AH499" i="1" s="1"/>
  <c r="AI499" i="1" s="1"/>
  <c r="W500" i="1"/>
  <c r="W501" i="1"/>
  <c r="AH501" i="1" s="1"/>
  <c r="AI501" i="1" s="1"/>
  <c r="W502" i="1"/>
  <c r="W503" i="1"/>
  <c r="AH503" i="1" s="1"/>
  <c r="AI503" i="1" s="1"/>
  <c r="W504" i="1"/>
  <c r="AH504" i="1" s="1"/>
  <c r="AI504" i="1" s="1"/>
  <c r="W505" i="1"/>
  <c r="W506" i="1"/>
  <c r="AH506" i="1" s="1"/>
  <c r="AI506" i="1" s="1"/>
  <c r="W507" i="1"/>
  <c r="W508" i="1"/>
  <c r="AH508" i="1" s="1"/>
  <c r="AI508" i="1" s="1"/>
  <c r="W509" i="1"/>
  <c r="W510" i="1"/>
  <c r="AH510" i="1" s="1"/>
  <c r="AI510" i="1" s="1"/>
  <c r="W511" i="1"/>
  <c r="AH511" i="1" s="1"/>
  <c r="AI511" i="1" s="1"/>
  <c r="W512" i="1"/>
  <c r="W513" i="1"/>
  <c r="AH513" i="1" s="1"/>
  <c r="AI513" i="1" s="1"/>
  <c r="W514" i="1"/>
  <c r="W515" i="1"/>
  <c r="AH515" i="1" s="1"/>
  <c r="AI515" i="1" s="1"/>
  <c r="W516" i="1"/>
  <c r="AH516" i="1" s="1"/>
  <c r="AI516" i="1" s="1"/>
  <c r="W517" i="1"/>
  <c r="W518" i="1"/>
  <c r="W519" i="1"/>
  <c r="W520" i="1"/>
  <c r="AH520" i="1" s="1"/>
  <c r="AI520" i="1" s="1"/>
  <c r="W521" i="1"/>
  <c r="AH521" i="1" s="1"/>
  <c r="AI521" i="1" s="1"/>
  <c r="W522" i="1"/>
  <c r="AH522" i="1" s="1"/>
  <c r="AI522" i="1" s="1"/>
  <c r="W523" i="1"/>
  <c r="AH523" i="1" s="1"/>
  <c r="AI523" i="1" s="1"/>
  <c r="W524" i="1"/>
  <c r="W525" i="1"/>
  <c r="AH525" i="1" s="1"/>
  <c r="AI525" i="1" s="1"/>
  <c r="W526" i="1"/>
  <c r="W527" i="1"/>
  <c r="AH527" i="1" s="1"/>
  <c r="AI527" i="1" s="1"/>
  <c r="W528" i="1"/>
  <c r="AH528" i="1" s="1"/>
  <c r="AI528" i="1" s="1"/>
  <c r="W529" i="1"/>
  <c r="W530" i="1"/>
  <c r="AH530" i="1" s="1"/>
  <c r="AI530" i="1" s="1"/>
  <c r="W531" i="1"/>
  <c r="W532" i="1"/>
  <c r="AH532" i="1" s="1"/>
  <c r="AI532" i="1" s="1"/>
  <c r="W533" i="1"/>
  <c r="AH533" i="1" s="1"/>
  <c r="AI533" i="1" s="1"/>
  <c r="W534" i="1"/>
  <c r="AH534" i="1" s="1"/>
  <c r="AI534" i="1" s="1"/>
  <c r="W535" i="1"/>
  <c r="AH535" i="1" s="1"/>
  <c r="AI535" i="1" s="1"/>
  <c r="W536" i="1"/>
  <c r="W12" i="1"/>
  <c r="W10" i="1"/>
  <c r="AH10" i="1" s="1"/>
  <c r="W11" i="1"/>
  <c r="W7" i="1"/>
  <c r="W8" i="1"/>
  <c r="AH8" i="1" s="1"/>
  <c r="W9" i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X72" i="1"/>
  <c r="Y72" i="1" s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X106" i="1"/>
  <c r="X107" i="1"/>
  <c r="X108" i="1"/>
  <c r="X109" i="1"/>
  <c r="X110" i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X119" i="1"/>
  <c r="Y119" i="1" s="1"/>
  <c r="X120" i="1"/>
  <c r="X121" i="1"/>
  <c r="Y121" i="1" s="1"/>
  <c r="X122" i="1"/>
  <c r="X123" i="1"/>
  <c r="X124" i="1"/>
  <c r="Y124" i="1" s="1"/>
  <c r="X125" i="1"/>
  <c r="Y125" i="1" s="1"/>
  <c r="X126" i="1"/>
  <c r="X127" i="1"/>
  <c r="Y127" i="1" s="1"/>
  <c r="X128" i="1"/>
  <c r="Y128" i="1" s="1"/>
  <c r="X129" i="1"/>
  <c r="Y129" i="1" s="1"/>
  <c r="X130" i="1"/>
  <c r="Y130" i="1" s="1"/>
  <c r="X131" i="1"/>
  <c r="Y131" i="1" s="1"/>
  <c r="X132" i="1"/>
  <c r="Y132" i="1" s="1"/>
  <c r="X133" i="1"/>
  <c r="Y133" i="1" s="1"/>
  <c r="X134" i="1"/>
  <c r="Y134" i="1" s="1"/>
  <c r="X135" i="1"/>
  <c r="Y135" i="1" s="1"/>
  <c r="X136" i="1"/>
  <c r="Y136" i="1" s="1"/>
  <c r="X137" i="1"/>
  <c r="Y137" i="1" s="1"/>
  <c r="X138" i="1"/>
  <c r="Y138" i="1" s="1"/>
  <c r="X139" i="1"/>
  <c r="Y139" i="1" s="1"/>
  <c r="X140" i="1"/>
  <c r="Y140" i="1" s="1"/>
  <c r="X141" i="1"/>
  <c r="Y141" i="1" s="1"/>
  <c r="X142" i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Y162" i="1" s="1"/>
  <c r="X163" i="1"/>
  <c r="Y163" i="1" s="1"/>
  <c r="X164" i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Y198" i="1" s="1"/>
  <c r="X199" i="1"/>
  <c r="Y199" i="1" s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X206" i="1"/>
  <c r="X207" i="1"/>
  <c r="Y207" i="1" s="1"/>
  <c r="X208" i="1"/>
  <c r="Y208" i="1" s="1"/>
  <c r="X209" i="1"/>
  <c r="Y209" i="1" s="1"/>
  <c r="X210" i="1"/>
  <c r="Y210" i="1" s="1"/>
  <c r="X211" i="1"/>
  <c r="Y211" i="1" s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Y217" i="1" s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 s="1"/>
  <c r="X233" i="1"/>
  <c r="Y233" i="1" s="1"/>
  <c r="X234" i="1"/>
  <c r="Y234" i="1" s="1"/>
  <c r="X235" i="1"/>
  <c r="X236" i="1"/>
  <c r="Y236" i="1" s="1"/>
  <c r="X237" i="1"/>
  <c r="Y237" i="1" s="1"/>
  <c r="X238" i="1"/>
  <c r="Y238" i="1" s="1"/>
  <c r="X239" i="1"/>
  <c r="Y239" i="1" s="1"/>
  <c r="X240" i="1"/>
  <c r="Y240" i="1" s="1"/>
  <c r="X241" i="1"/>
  <c r="X242" i="1"/>
  <c r="Y242" i="1" s="1"/>
  <c r="X243" i="1"/>
  <c r="Y243" i="1" s="1"/>
  <c r="X244" i="1"/>
  <c r="Y244" i="1" s="1"/>
  <c r="X245" i="1"/>
  <c r="Y245" i="1" s="1"/>
  <c r="X246" i="1"/>
  <c r="Y246" i="1" s="1"/>
  <c r="X247" i="1"/>
  <c r="Y247" i="1" s="1"/>
  <c r="X248" i="1"/>
  <c r="Y248" i="1" s="1"/>
  <c r="X249" i="1"/>
  <c r="Y249" i="1" s="1"/>
  <c r="X250" i="1"/>
  <c r="Y250" i="1" s="1"/>
  <c r="X251" i="1"/>
  <c r="Y251" i="1" s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Y257" i="1" s="1"/>
  <c r="X258" i="1"/>
  <c r="Y258" i="1" s="1"/>
  <c r="X259" i="1"/>
  <c r="Y259" i="1" s="1"/>
  <c r="X260" i="1"/>
  <c r="Y260" i="1" s="1"/>
  <c r="X261" i="1"/>
  <c r="Y261" i="1" s="1"/>
  <c r="X262" i="1"/>
  <c r="Y262" i="1" s="1"/>
  <c r="X263" i="1"/>
  <c r="Y263" i="1" s="1"/>
  <c r="X264" i="1"/>
  <c r="Y264" i="1" s="1"/>
  <c r="X265" i="1"/>
  <c r="Y265" i="1" s="1"/>
  <c r="X266" i="1"/>
  <c r="Y266" i="1" s="1"/>
  <c r="X267" i="1"/>
  <c r="Y267" i="1" s="1"/>
  <c r="X268" i="1"/>
  <c r="Y268" i="1" s="1"/>
  <c r="X269" i="1"/>
  <c r="Y269" i="1" s="1"/>
  <c r="X270" i="1"/>
  <c r="Y270" i="1" s="1"/>
  <c r="X271" i="1"/>
  <c r="Y271" i="1" s="1"/>
  <c r="X272" i="1"/>
  <c r="Y272" i="1" s="1"/>
  <c r="X273" i="1"/>
  <c r="Y273" i="1" s="1"/>
  <c r="X274" i="1"/>
  <c r="Y274" i="1" s="1"/>
  <c r="X275" i="1"/>
  <c r="Y275" i="1" s="1"/>
  <c r="X276" i="1"/>
  <c r="Y276" i="1" s="1"/>
  <c r="X277" i="1"/>
  <c r="Y277" i="1" s="1"/>
  <c r="X278" i="1"/>
  <c r="Y278" i="1" s="1"/>
  <c r="X279" i="1"/>
  <c r="X280" i="1"/>
  <c r="Y280" i="1" s="1"/>
  <c r="X281" i="1"/>
  <c r="Y281" i="1" s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Y290" i="1" s="1"/>
  <c r="X291" i="1"/>
  <c r="Y291" i="1" s="1"/>
  <c r="X292" i="1"/>
  <c r="Y292" i="1" s="1"/>
  <c r="X293" i="1"/>
  <c r="Y293" i="1" s="1"/>
  <c r="X294" i="1"/>
  <c r="Y294" i="1" s="1"/>
  <c r="X295" i="1"/>
  <c r="Y295" i="1" s="1"/>
  <c r="X296" i="1"/>
  <c r="Y296" i="1" s="1"/>
  <c r="X297" i="1"/>
  <c r="Y297" i="1" s="1"/>
  <c r="X298" i="1"/>
  <c r="Y298" i="1" s="1"/>
  <c r="X299" i="1"/>
  <c r="Y299" i="1" s="1"/>
  <c r="X300" i="1"/>
  <c r="Y300" i="1" s="1"/>
  <c r="X301" i="1"/>
  <c r="Y301" i="1" s="1"/>
  <c r="X302" i="1"/>
  <c r="Y302" i="1" s="1"/>
  <c r="X303" i="1"/>
  <c r="Y303" i="1" s="1"/>
  <c r="X304" i="1"/>
  <c r="Y304" i="1" s="1"/>
  <c r="X305" i="1"/>
  <c r="Y305" i="1" s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20" i="1"/>
  <c r="Y320" i="1" s="1"/>
  <c r="X321" i="1"/>
  <c r="Y321" i="1" s="1"/>
  <c r="X322" i="1"/>
  <c r="Y322" i="1" s="1"/>
  <c r="X323" i="1"/>
  <c r="Y323" i="1" s="1"/>
  <c r="X324" i="1"/>
  <c r="Y324" i="1" s="1"/>
  <c r="X325" i="1"/>
  <c r="Y325" i="1" s="1"/>
  <c r="X326" i="1"/>
  <c r="Y326" i="1" s="1"/>
  <c r="X327" i="1"/>
  <c r="Y327" i="1" s="1"/>
  <c r="X328" i="1"/>
  <c r="Y328" i="1" s="1"/>
  <c r="X329" i="1"/>
  <c r="Y329" i="1" s="1"/>
  <c r="X330" i="1"/>
  <c r="Y330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Y337" i="1" s="1"/>
  <c r="X338" i="1"/>
  <c r="Y338" i="1" s="1"/>
  <c r="X339" i="1"/>
  <c r="Y339" i="1" s="1"/>
  <c r="X340" i="1"/>
  <c r="Y340" i="1" s="1"/>
  <c r="X341" i="1"/>
  <c r="Y341" i="1" s="1"/>
  <c r="X342" i="1"/>
  <c r="Y342" i="1" s="1"/>
  <c r="X343" i="1"/>
  <c r="Y343" i="1" s="1"/>
  <c r="X344" i="1"/>
  <c r="Y344" i="1" s="1"/>
  <c r="X345" i="1"/>
  <c r="Y345" i="1" s="1"/>
  <c r="X346" i="1"/>
  <c r="Y346" i="1" s="1"/>
  <c r="X347" i="1"/>
  <c r="Y347" i="1" s="1"/>
  <c r="X348" i="1"/>
  <c r="Y348" i="1" s="1"/>
  <c r="X349" i="1"/>
  <c r="Y349" i="1" s="1"/>
  <c r="X350" i="1"/>
  <c r="Y350" i="1" s="1"/>
  <c r="X351" i="1"/>
  <c r="Y351" i="1" s="1"/>
  <c r="X352" i="1"/>
  <c r="Y352" i="1" s="1"/>
  <c r="X353" i="1"/>
  <c r="Y353" i="1" s="1"/>
  <c r="X354" i="1"/>
  <c r="Y354" i="1" s="1"/>
  <c r="X355" i="1"/>
  <c r="Y355" i="1" s="1"/>
  <c r="X356" i="1"/>
  <c r="Y356" i="1" s="1"/>
  <c r="X357" i="1"/>
  <c r="Y357" i="1" s="1"/>
  <c r="X358" i="1"/>
  <c r="Y358" i="1" s="1"/>
  <c r="X359" i="1"/>
  <c r="Y359" i="1" s="1"/>
  <c r="X360" i="1"/>
  <c r="Y360" i="1" s="1"/>
  <c r="X361" i="1"/>
  <c r="Y361" i="1" s="1"/>
  <c r="X362" i="1"/>
  <c r="Y362" i="1" s="1"/>
  <c r="X363" i="1"/>
  <c r="Y363" i="1" s="1"/>
  <c r="X364" i="1"/>
  <c r="Y364" i="1" s="1"/>
  <c r="X365" i="1"/>
  <c r="Y365" i="1" s="1"/>
  <c r="X366" i="1"/>
  <c r="Y366" i="1" s="1"/>
  <c r="X367" i="1"/>
  <c r="Y367" i="1" s="1"/>
  <c r="X368" i="1"/>
  <c r="Y368" i="1" s="1"/>
  <c r="X369" i="1"/>
  <c r="Y369" i="1" s="1"/>
  <c r="X370" i="1"/>
  <c r="Y370" i="1" s="1"/>
  <c r="X371" i="1"/>
  <c r="Y371" i="1" s="1"/>
  <c r="X372" i="1"/>
  <c r="Y372" i="1" s="1"/>
  <c r="X373" i="1"/>
  <c r="Y373" i="1" s="1"/>
  <c r="X374" i="1"/>
  <c r="Y374" i="1" s="1"/>
  <c r="X375" i="1"/>
  <c r="Y375" i="1" s="1"/>
  <c r="X376" i="1"/>
  <c r="Y376" i="1" s="1"/>
  <c r="X377" i="1"/>
  <c r="Y377" i="1" s="1"/>
  <c r="X378" i="1"/>
  <c r="Y378" i="1" s="1"/>
  <c r="X379" i="1"/>
  <c r="Y379" i="1" s="1"/>
  <c r="X380" i="1"/>
  <c r="Y380" i="1" s="1"/>
  <c r="X381" i="1"/>
  <c r="Y381" i="1" s="1"/>
  <c r="X382" i="1"/>
  <c r="Y382" i="1" s="1"/>
  <c r="X383" i="1"/>
  <c r="Y383" i="1" s="1"/>
  <c r="X384" i="1"/>
  <c r="Y384" i="1" s="1"/>
  <c r="X385" i="1"/>
  <c r="Y385" i="1" s="1"/>
  <c r="X386" i="1"/>
  <c r="Y386" i="1" s="1"/>
  <c r="X387" i="1"/>
  <c r="Y387" i="1" s="1"/>
  <c r="X388" i="1"/>
  <c r="Y388" i="1" s="1"/>
  <c r="X389" i="1"/>
  <c r="Y389" i="1" s="1"/>
  <c r="X390" i="1"/>
  <c r="Y390" i="1" s="1"/>
  <c r="X391" i="1"/>
  <c r="Y391" i="1" s="1"/>
  <c r="X392" i="1"/>
  <c r="Y392" i="1" s="1"/>
  <c r="X393" i="1"/>
  <c r="Y393" i="1" s="1"/>
  <c r="X394" i="1"/>
  <c r="Y394" i="1" s="1"/>
  <c r="X395" i="1"/>
  <c r="Y395" i="1" s="1"/>
  <c r="X396" i="1"/>
  <c r="Y396" i="1" s="1"/>
  <c r="X397" i="1"/>
  <c r="Y397" i="1" s="1"/>
  <c r="X398" i="1"/>
  <c r="Y398" i="1" s="1"/>
  <c r="X399" i="1"/>
  <c r="Y399" i="1" s="1"/>
  <c r="X400" i="1"/>
  <c r="Y400" i="1" s="1"/>
  <c r="X401" i="1"/>
  <c r="Y401" i="1" s="1"/>
  <c r="X402" i="1"/>
  <c r="Y402" i="1" s="1"/>
  <c r="X403" i="1"/>
  <c r="Y403" i="1" s="1"/>
  <c r="X404" i="1"/>
  <c r="Y404" i="1" s="1"/>
  <c r="X405" i="1"/>
  <c r="Y405" i="1" s="1"/>
  <c r="X406" i="1"/>
  <c r="Y406" i="1" s="1"/>
  <c r="X407" i="1"/>
  <c r="Y407" i="1" s="1"/>
  <c r="X408" i="1"/>
  <c r="Y408" i="1" s="1"/>
  <c r="X409" i="1"/>
  <c r="Y409" i="1" s="1"/>
  <c r="X410" i="1"/>
  <c r="Y410" i="1" s="1"/>
  <c r="X411" i="1"/>
  <c r="Y411" i="1" s="1"/>
  <c r="X412" i="1"/>
  <c r="Y412" i="1" s="1"/>
  <c r="X413" i="1"/>
  <c r="Y413" i="1" s="1"/>
  <c r="X414" i="1"/>
  <c r="Y414" i="1" s="1"/>
  <c r="X415" i="1"/>
  <c r="Y415" i="1" s="1"/>
  <c r="X416" i="1"/>
  <c r="Y416" i="1" s="1"/>
  <c r="X417" i="1"/>
  <c r="Y417" i="1" s="1"/>
  <c r="X418" i="1"/>
  <c r="Y418" i="1" s="1"/>
  <c r="X419" i="1"/>
  <c r="Y419" i="1" s="1"/>
  <c r="X420" i="1"/>
  <c r="Y420" i="1" s="1"/>
  <c r="X421" i="1"/>
  <c r="Y421" i="1" s="1"/>
  <c r="X422" i="1"/>
  <c r="X423" i="1"/>
  <c r="Y423" i="1" s="1"/>
  <c r="X424" i="1"/>
  <c r="Y424" i="1" s="1"/>
  <c r="X425" i="1"/>
  <c r="Y425" i="1" s="1"/>
  <c r="X426" i="1"/>
  <c r="Y426" i="1" s="1"/>
  <c r="X427" i="1"/>
  <c r="Y427" i="1" s="1"/>
  <c r="X428" i="1"/>
  <c r="Y428" i="1" s="1"/>
  <c r="X429" i="1"/>
  <c r="Y429" i="1" s="1"/>
  <c r="X430" i="1"/>
  <c r="Y430" i="1" s="1"/>
  <c r="X431" i="1"/>
  <c r="Y431" i="1" s="1"/>
  <c r="X432" i="1"/>
  <c r="Y432" i="1" s="1"/>
  <c r="X433" i="1"/>
  <c r="Y433" i="1" s="1"/>
  <c r="X434" i="1"/>
  <c r="Y434" i="1" s="1"/>
  <c r="X435" i="1"/>
  <c r="Y435" i="1" s="1"/>
  <c r="X436" i="1"/>
  <c r="Y436" i="1" s="1"/>
  <c r="X437" i="1"/>
  <c r="Y437" i="1" s="1"/>
  <c r="X438" i="1"/>
  <c r="Y438" i="1" s="1"/>
  <c r="X439" i="1"/>
  <c r="Y439" i="1" s="1"/>
  <c r="X440" i="1"/>
  <c r="Y440" i="1" s="1"/>
  <c r="X441" i="1"/>
  <c r="Y441" i="1" s="1"/>
  <c r="X442" i="1"/>
  <c r="Y442" i="1" s="1"/>
  <c r="X443" i="1"/>
  <c r="Y443" i="1" s="1"/>
  <c r="X444" i="1"/>
  <c r="Y444" i="1" s="1"/>
  <c r="X445" i="1"/>
  <c r="Y445" i="1" s="1"/>
  <c r="X446" i="1"/>
  <c r="Y446" i="1" s="1"/>
  <c r="X447" i="1"/>
  <c r="Y447" i="1" s="1"/>
  <c r="X448" i="1"/>
  <c r="Y448" i="1" s="1"/>
  <c r="X449" i="1"/>
  <c r="Y449" i="1" s="1"/>
  <c r="X450" i="1"/>
  <c r="Y450" i="1" s="1"/>
  <c r="X451" i="1"/>
  <c r="Y451" i="1" s="1"/>
  <c r="X452" i="1"/>
  <c r="Y452" i="1" s="1"/>
  <c r="X453" i="1"/>
  <c r="Y453" i="1" s="1"/>
  <c r="X454" i="1"/>
  <c r="Y454" i="1" s="1"/>
  <c r="X455" i="1"/>
  <c r="Y455" i="1" s="1"/>
  <c r="X456" i="1"/>
  <c r="Y456" i="1" s="1"/>
  <c r="X457" i="1"/>
  <c r="Y457" i="1" s="1"/>
  <c r="X458" i="1"/>
  <c r="Y458" i="1" s="1"/>
  <c r="X459" i="1"/>
  <c r="Y459" i="1" s="1"/>
  <c r="X460" i="1"/>
  <c r="Y460" i="1" s="1"/>
  <c r="X461" i="1"/>
  <c r="Y461" i="1" s="1"/>
  <c r="X462" i="1"/>
  <c r="Y462" i="1" s="1"/>
  <c r="X463" i="1"/>
  <c r="Y463" i="1" s="1"/>
  <c r="X464" i="1"/>
  <c r="Y464" i="1" s="1"/>
  <c r="X465" i="1"/>
  <c r="Y465" i="1" s="1"/>
  <c r="X466" i="1"/>
  <c r="Y466" i="1" s="1"/>
  <c r="X467" i="1"/>
  <c r="Y467" i="1" s="1"/>
  <c r="X468" i="1"/>
  <c r="Y468" i="1" s="1"/>
  <c r="X469" i="1"/>
  <c r="Y469" i="1" s="1"/>
  <c r="X470" i="1"/>
  <c r="Y470" i="1" s="1"/>
  <c r="X471" i="1"/>
  <c r="Y471" i="1" s="1"/>
  <c r="X472" i="1"/>
  <c r="Y472" i="1" s="1"/>
  <c r="X473" i="1"/>
  <c r="Y473" i="1" s="1"/>
  <c r="X474" i="1"/>
  <c r="Y474" i="1" s="1"/>
  <c r="X475" i="1"/>
  <c r="Y475" i="1" s="1"/>
  <c r="X476" i="1"/>
  <c r="Y476" i="1" s="1"/>
  <c r="X477" i="1"/>
  <c r="Y477" i="1" s="1"/>
  <c r="X478" i="1"/>
  <c r="Y478" i="1" s="1"/>
  <c r="X479" i="1"/>
  <c r="Y479" i="1" s="1"/>
  <c r="X480" i="1"/>
  <c r="Y480" i="1" s="1"/>
  <c r="X481" i="1"/>
  <c r="X482" i="1"/>
  <c r="Y482" i="1" s="1"/>
  <c r="X483" i="1"/>
  <c r="Y483" i="1" s="1"/>
  <c r="X484" i="1"/>
  <c r="Y484" i="1" s="1"/>
  <c r="X485" i="1"/>
  <c r="Y485" i="1" s="1"/>
  <c r="X486" i="1"/>
  <c r="Y486" i="1" s="1"/>
  <c r="X487" i="1"/>
  <c r="Y487" i="1" s="1"/>
  <c r="X488" i="1"/>
  <c r="Y488" i="1" s="1"/>
  <c r="X489" i="1"/>
  <c r="Y489" i="1" s="1"/>
  <c r="X490" i="1"/>
  <c r="Y490" i="1" s="1"/>
  <c r="X491" i="1"/>
  <c r="Y491" i="1" s="1"/>
  <c r="X492" i="1"/>
  <c r="Y492" i="1" s="1"/>
  <c r="X493" i="1"/>
  <c r="Y493" i="1" s="1"/>
  <c r="X494" i="1"/>
  <c r="Y494" i="1" s="1"/>
  <c r="X495" i="1"/>
  <c r="Y495" i="1" s="1"/>
  <c r="X496" i="1"/>
  <c r="Y496" i="1" s="1"/>
  <c r="X497" i="1"/>
  <c r="Y497" i="1" s="1"/>
  <c r="X498" i="1"/>
  <c r="Y498" i="1" s="1"/>
  <c r="X499" i="1"/>
  <c r="Y499" i="1" s="1"/>
  <c r="X500" i="1"/>
  <c r="Y500" i="1" s="1"/>
  <c r="X501" i="1"/>
  <c r="Y501" i="1" s="1"/>
  <c r="X502" i="1"/>
  <c r="Y502" i="1" s="1"/>
  <c r="X503" i="1"/>
  <c r="Y503" i="1" s="1"/>
  <c r="X504" i="1"/>
  <c r="Y504" i="1" s="1"/>
  <c r="X505" i="1"/>
  <c r="Y505" i="1" s="1"/>
  <c r="X506" i="1"/>
  <c r="Y506" i="1" s="1"/>
  <c r="X507" i="1"/>
  <c r="Y507" i="1" s="1"/>
  <c r="X508" i="1"/>
  <c r="Y508" i="1" s="1"/>
  <c r="X509" i="1"/>
  <c r="Y509" i="1" s="1"/>
  <c r="X510" i="1"/>
  <c r="Y510" i="1" s="1"/>
  <c r="X511" i="1"/>
  <c r="Y511" i="1" s="1"/>
  <c r="X512" i="1"/>
  <c r="Y512" i="1" s="1"/>
  <c r="X513" i="1"/>
  <c r="Y513" i="1" s="1"/>
  <c r="X514" i="1"/>
  <c r="Y514" i="1" s="1"/>
  <c r="X515" i="1"/>
  <c r="Y515" i="1" s="1"/>
  <c r="X516" i="1"/>
  <c r="Y516" i="1" s="1"/>
  <c r="X517" i="1"/>
  <c r="Y517" i="1" s="1"/>
  <c r="X518" i="1"/>
  <c r="Y518" i="1" s="1"/>
  <c r="X519" i="1"/>
  <c r="Y519" i="1" s="1"/>
  <c r="X520" i="1"/>
  <c r="Y520" i="1" s="1"/>
  <c r="X521" i="1"/>
  <c r="Y521" i="1" s="1"/>
  <c r="X522" i="1"/>
  <c r="Y522" i="1" s="1"/>
  <c r="X523" i="1"/>
  <c r="Y523" i="1" s="1"/>
  <c r="X524" i="1"/>
  <c r="Y524" i="1" s="1"/>
  <c r="X525" i="1"/>
  <c r="Y525" i="1" s="1"/>
  <c r="X526" i="1"/>
  <c r="Y526" i="1" s="1"/>
  <c r="X527" i="1"/>
  <c r="Y527" i="1" s="1"/>
  <c r="X528" i="1"/>
  <c r="Y528" i="1" s="1"/>
  <c r="X529" i="1"/>
  <c r="Y529" i="1" s="1"/>
  <c r="X530" i="1"/>
  <c r="Y530" i="1" s="1"/>
  <c r="X531" i="1"/>
  <c r="Y531" i="1" s="1"/>
  <c r="X532" i="1"/>
  <c r="Y532" i="1" s="1"/>
  <c r="X533" i="1"/>
  <c r="Y533" i="1" s="1"/>
  <c r="X534" i="1"/>
  <c r="Y534" i="1" s="1"/>
  <c r="X535" i="1"/>
  <c r="Y535" i="1" s="1"/>
  <c r="X536" i="1"/>
  <c r="Y536" i="1" s="1"/>
  <c r="X537" i="1"/>
  <c r="Y537" i="1" s="1"/>
  <c r="X538" i="1"/>
  <c r="Y538" i="1" s="1"/>
  <c r="X539" i="1"/>
  <c r="Y539" i="1" s="1"/>
  <c r="X540" i="1"/>
  <c r="Y540" i="1" s="1"/>
  <c r="X541" i="1"/>
  <c r="Y541" i="1" s="1"/>
  <c r="X542" i="1"/>
  <c r="Y542" i="1" s="1"/>
  <c r="X543" i="1"/>
  <c r="Y543" i="1" s="1"/>
  <c r="X544" i="1"/>
  <c r="Y544" i="1" s="1"/>
  <c r="X545" i="1"/>
  <c r="Y545" i="1" s="1"/>
  <c r="X546" i="1"/>
  <c r="Y546" i="1" s="1"/>
  <c r="X7" i="1"/>
  <c r="X8" i="1"/>
  <c r="Y8" i="1" s="1"/>
  <c r="X9" i="1"/>
  <c r="Y9" i="1" s="1"/>
  <c r="X10" i="1"/>
  <c r="Y10" i="1" s="1"/>
  <c r="W6" i="1"/>
  <c r="W5" i="1"/>
  <c r="X5" i="1"/>
  <c r="X6" i="1"/>
  <c r="Y422" i="1"/>
  <c r="Y481" i="1"/>
  <c r="X547" i="1"/>
  <c r="Y547" i="1" s="1"/>
  <c r="X548" i="1"/>
  <c r="Y548" i="1" s="1"/>
  <c r="X549" i="1"/>
  <c r="Y549" i="1" s="1"/>
  <c r="X550" i="1"/>
  <c r="Y550" i="1" s="1"/>
  <c r="X551" i="1"/>
  <c r="Y551" i="1" s="1"/>
  <c r="X552" i="1"/>
  <c r="Y552" i="1" s="1"/>
  <c r="X553" i="1"/>
  <c r="Y553" i="1" s="1"/>
  <c r="X554" i="1"/>
  <c r="Y554" i="1" s="1"/>
  <c r="X555" i="1"/>
  <c r="Y555" i="1" s="1"/>
  <c r="X556" i="1"/>
  <c r="Y556" i="1" s="1"/>
  <c r="X557" i="1"/>
  <c r="Y557" i="1" s="1"/>
  <c r="X558" i="1"/>
  <c r="Y558" i="1" s="1"/>
  <c r="X559" i="1"/>
  <c r="Y559" i="1" s="1"/>
  <c r="X560" i="1"/>
  <c r="Y560" i="1" s="1"/>
  <c r="X561" i="1"/>
  <c r="Y561" i="1" s="1"/>
  <c r="X562" i="1"/>
  <c r="Y562" i="1" s="1"/>
  <c r="X563" i="1"/>
  <c r="Y563" i="1" s="1"/>
  <c r="X564" i="1"/>
  <c r="Y564" i="1" s="1"/>
  <c r="X565" i="1"/>
  <c r="Y565" i="1" s="1"/>
  <c r="X566" i="1"/>
  <c r="Y566" i="1" s="1"/>
  <c r="X567" i="1"/>
  <c r="Y567" i="1" s="1"/>
  <c r="X568" i="1"/>
  <c r="Y568" i="1" s="1"/>
  <c r="X569" i="1"/>
  <c r="Y569" i="1" s="1"/>
  <c r="X570" i="1"/>
  <c r="Y570" i="1" s="1"/>
  <c r="X571" i="1"/>
  <c r="Y571" i="1" s="1"/>
  <c r="X572" i="1"/>
  <c r="Y572" i="1" s="1"/>
  <c r="X573" i="1"/>
  <c r="Y573" i="1" s="1"/>
  <c r="X574" i="1"/>
  <c r="Y574" i="1" s="1"/>
  <c r="X575" i="1"/>
  <c r="Y575" i="1" s="1"/>
  <c r="X576" i="1"/>
  <c r="Y576" i="1" s="1"/>
  <c r="X577" i="1"/>
  <c r="Y577" i="1" s="1"/>
  <c r="X578" i="1"/>
  <c r="Y578" i="1" s="1"/>
  <c r="X579" i="1"/>
  <c r="Y579" i="1" s="1"/>
  <c r="X580" i="1"/>
  <c r="Y580" i="1" s="1"/>
  <c r="X581" i="1"/>
  <c r="Y581" i="1" s="1"/>
  <c r="X582" i="1"/>
  <c r="Y582" i="1" s="1"/>
  <c r="X583" i="1"/>
  <c r="Y583" i="1" s="1"/>
  <c r="X584" i="1"/>
  <c r="Y584" i="1" s="1"/>
  <c r="X585" i="1"/>
  <c r="Y585" i="1" s="1"/>
  <c r="X586" i="1"/>
  <c r="Y586" i="1" s="1"/>
  <c r="X587" i="1"/>
  <c r="Y587" i="1" s="1"/>
  <c r="X588" i="1"/>
  <c r="Y588" i="1" s="1"/>
  <c r="X589" i="1"/>
  <c r="Y589" i="1" s="1"/>
  <c r="X590" i="1"/>
  <c r="Y590" i="1" s="1"/>
  <c r="X591" i="1"/>
  <c r="Y591" i="1" s="1"/>
  <c r="X592" i="1"/>
  <c r="Y592" i="1" s="1"/>
  <c r="X593" i="1"/>
  <c r="Y593" i="1" s="1"/>
  <c r="X594" i="1"/>
  <c r="Y594" i="1" s="1"/>
  <c r="X595" i="1"/>
  <c r="Y595" i="1" s="1"/>
  <c r="X596" i="1"/>
  <c r="Y596" i="1" s="1"/>
  <c r="X597" i="1"/>
  <c r="Y597" i="1" s="1"/>
  <c r="X598" i="1"/>
  <c r="Y598" i="1" s="1"/>
  <c r="X599" i="1"/>
  <c r="Y599" i="1" s="1"/>
  <c r="X600" i="1"/>
  <c r="Y600" i="1" s="1"/>
  <c r="X601" i="1"/>
  <c r="Y601" i="1" s="1"/>
  <c r="X602" i="1"/>
  <c r="Y602" i="1" s="1"/>
  <c r="X603" i="1"/>
  <c r="Y603" i="1" s="1"/>
  <c r="X604" i="1"/>
  <c r="Y604" i="1" s="1"/>
  <c r="X605" i="1"/>
  <c r="Y605" i="1" s="1"/>
  <c r="X606" i="1"/>
  <c r="Y606" i="1" s="1"/>
  <c r="X607" i="1"/>
  <c r="Y607" i="1" s="1"/>
  <c r="X608" i="1"/>
  <c r="Y608" i="1" s="1"/>
  <c r="X609" i="1"/>
  <c r="Y609" i="1" s="1"/>
  <c r="X610" i="1"/>
  <c r="Y610" i="1" s="1"/>
  <c r="X611" i="1"/>
  <c r="Y611" i="1" s="1"/>
  <c r="X612" i="1"/>
  <c r="Y612" i="1" s="1"/>
  <c r="X613" i="1"/>
  <c r="Y613" i="1" s="1"/>
  <c r="X614" i="1"/>
  <c r="Y614" i="1" s="1"/>
  <c r="X615" i="1"/>
  <c r="Y615" i="1" s="1"/>
  <c r="X616" i="1"/>
  <c r="Y616" i="1" s="1"/>
  <c r="X617" i="1"/>
  <c r="Y617" i="1" s="1"/>
  <c r="X618" i="1"/>
  <c r="Y618" i="1" s="1"/>
  <c r="X619" i="1"/>
  <c r="Y619" i="1" s="1"/>
  <c r="X620" i="1"/>
  <c r="Y620" i="1" s="1"/>
  <c r="X621" i="1"/>
  <c r="Y621" i="1" s="1"/>
  <c r="X622" i="1"/>
  <c r="Y622" i="1" s="1"/>
  <c r="X623" i="1"/>
  <c r="Y623" i="1" s="1"/>
  <c r="X624" i="1"/>
  <c r="Y624" i="1" s="1"/>
  <c r="X625" i="1"/>
  <c r="Y625" i="1" s="1"/>
  <c r="X626" i="1"/>
  <c r="Y626" i="1" s="1"/>
  <c r="X627" i="1"/>
  <c r="Y627" i="1" s="1"/>
  <c r="X628" i="1"/>
  <c r="Y628" i="1" s="1"/>
  <c r="X629" i="1"/>
  <c r="Y629" i="1" s="1"/>
  <c r="X630" i="1"/>
  <c r="Y630" i="1" s="1"/>
  <c r="X631" i="1"/>
  <c r="Y631" i="1" s="1"/>
  <c r="X632" i="1"/>
  <c r="Y632" i="1" s="1"/>
  <c r="X633" i="1"/>
  <c r="Y633" i="1" s="1"/>
  <c r="X634" i="1"/>
  <c r="Y634" i="1" s="1"/>
  <c r="X635" i="1"/>
  <c r="Y635" i="1" s="1"/>
  <c r="X636" i="1"/>
  <c r="Y636" i="1" s="1"/>
  <c r="X637" i="1"/>
  <c r="Y637" i="1" s="1"/>
  <c r="X638" i="1"/>
  <c r="Y638" i="1" s="1"/>
  <c r="X639" i="1"/>
  <c r="Y639" i="1" s="1"/>
  <c r="X640" i="1"/>
  <c r="Y640" i="1" s="1"/>
  <c r="X641" i="1"/>
  <c r="Y641" i="1" s="1"/>
  <c r="X642" i="1"/>
  <c r="Y642" i="1" s="1"/>
  <c r="X643" i="1"/>
  <c r="Y643" i="1" s="1"/>
  <c r="X644" i="1"/>
  <c r="Y644" i="1" s="1"/>
  <c r="X645" i="1"/>
  <c r="Y645" i="1" s="1"/>
  <c r="X646" i="1"/>
  <c r="Y646" i="1" s="1"/>
  <c r="X647" i="1"/>
  <c r="Y647" i="1" s="1"/>
  <c r="X648" i="1"/>
  <c r="Y648" i="1" s="1"/>
  <c r="X649" i="1"/>
  <c r="Y649" i="1" s="1"/>
  <c r="X650" i="1"/>
  <c r="Y650" i="1" s="1"/>
  <c r="X651" i="1"/>
  <c r="Y651" i="1" s="1"/>
  <c r="X652" i="1"/>
  <c r="Y652" i="1" s="1"/>
  <c r="X653" i="1"/>
  <c r="Y653" i="1" s="1"/>
  <c r="X654" i="1"/>
  <c r="Y654" i="1" s="1"/>
  <c r="X655" i="1"/>
  <c r="Y655" i="1" s="1"/>
  <c r="X656" i="1"/>
  <c r="Y656" i="1" s="1"/>
  <c r="X657" i="1"/>
  <c r="Y657" i="1" s="1"/>
  <c r="X658" i="1"/>
  <c r="Y658" i="1" s="1"/>
  <c r="X659" i="1"/>
  <c r="Y659" i="1" s="1"/>
  <c r="X660" i="1"/>
  <c r="Y660" i="1" s="1"/>
  <c r="X661" i="1"/>
  <c r="Y661" i="1" s="1"/>
  <c r="X662" i="1"/>
  <c r="Y662" i="1" s="1"/>
  <c r="X663" i="1"/>
  <c r="Y663" i="1" s="1"/>
  <c r="X664" i="1"/>
  <c r="Y664" i="1" s="1"/>
  <c r="X665" i="1"/>
  <c r="Y665" i="1" s="1"/>
  <c r="X666" i="1"/>
  <c r="Y666" i="1" s="1"/>
  <c r="X667" i="1"/>
  <c r="Y667" i="1" s="1"/>
  <c r="X668" i="1"/>
  <c r="Y668" i="1" s="1"/>
  <c r="X669" i="1"/>
  <c r="Y669" i="1" s="1"/>
  <c r="X670" i="1"/>
  <c r="Y670" i="1" s="1"/>
  <c r="X671" i="1"/>
  <c r="Y671" i="1" s="1"/>
  <c r="X672" i="1"/>
  <c r="Y672" i="1" s="1"/>
  <c r="X673" i="1"/>
  <c r="Y673" i="1" s="1"/>
  <c r="X674" i="1"/>
  <c r="Y674" i="1" s="1"/>
  <c r="X675" i="1"/>
  <c r="Y675" i="1" s="1"/>
  <c r="X676" i="1"/>
  <c r="Y676" i="1" s="1"/>
  <c r="X677" i="1"/>
  <c r="Y677" i="1" s="1"/>
  <c r="X678" i="1"/>
  <c r="Y678" i="1" s="1"/>
  <c r="X679" i="1"/>
  <c r="Y679" i="1" s="1"/>
  <c r="X680" i="1"/>
  <c r="Y680" i="1" s="1"/>
  <c r="X681" i="1"/>
  <c r="Y681" i="1" s="1"/>
  <c r="X682" i="1"/>
  <c r="Y682" i="1" s="1"/>
  <c r="X683" i="1"/>
  <c r="Y683" i="1" s="1"/>
  <c r="X684" i="1"/>
  <c r="Y684" i="1" s="1"/>
  <c r="X685" i="1"/>
  <c r="Y685" i="1" s="1"/>
  <c r="X686" i="1"/>
  <c r="Y686" i="1" s="1"/>
  <c r="X687" i="1"/>
  <c r="Y687" i="1" s="1"/>
  <c r="X688" i="1"/>
  <c r="Y688" i="1" s="1"/>
  <c r="X689" i="1"/>
  <c r="Y689" i="1" s="1"/>
  <c r="X690" i="1"/>
  <c r="Y690" i="1" s="1"/>
  <c r="X691" i="1"/>
  <c r="Y691" i="1" s="1"/>
  <c r="X692" i="1"/>
  <c r="Y692" i="1" s="1"/>
  <c r="X693" i="1"/>
  <c r="Y693" i="1" s="1"/>
  <c r="X694" i="1"/>
  <c r="Y694" i="1" s="1"/>
  <c r="X695" i="1"/>
  <c r="Y695" i="1" s="1"/>
  <c r="X696" i="1"/>
  <c r="Y696" i="1" s="1"/>
  <c r="X697" i="1"/>
  <c r="Y697" i="1" s="1"/>
  <c r="X698" i="1"/>
  <c r="Y698" i="1" s="1"/>
  <c r="X699" i="1"/>
  <c r="Y699" i="1" s="1"/>
  <c r="X700" i="1"/>
  <c r="Y700" i="1" s="1"/>
  <c r="X701" i="1"/>
  <c r="Y701" i="1" s="1"/>
  <c r="X702" i="1"/>
  <c r="Y702" i="1" s="1"/>
  <c r="X703" i="1"/>
  <c r="Y703" i="1" s="1"/>
  <c r="X704" i="1"/>
  <c r="Y704" i="1" s="1"/>
  <c r="X705" i="1"/>
  <c r="Y705" i="1" s="1"/>
  <c r="X706" i="1"/>
  <c r="Y706" i="1" s="1"/>
  <c r="X707" i="1"/>
  <c r="Y707" i="1" s="1"/>
  <c r="X708" i="1"/>
  <c r="Y708" i="1" s="1"/>
  <c r="X709" i="1"/>
  <c r="Y709" i="1" s="1"/>
  <c r="X710" i="1"/>
  <c r="Y710" i="1" s="1"/>
  <c r="X711" i="1"/>
  <c r="Y711" i="1" s="1"/>
  <c r="X712" i="1"/>
  <c r="Y712" i="1" s="1"/>
  <c r="X713" i="1"/>
  <c r="Y713" i="1" s="1"/>
  <c r="X714" i="1"/>
  <c r="Y714" i="1" s="1"/>
  <c r="X715" i="1"/>
  <c r="Y715" i="1" s="1"/>
  <c r="X716" i="1"/>
  <c r="Y716" i="1" s="1"/>
  <c r="X717" i="1"/>
  <c r="Y717" i="1" s="1"/>
  <c r="X718" i="1"/>
  <c r="Y718" i="1" s="1"/>
  <c r="X719" i="1"/>
  <c r="Y719" i="1" s="1"/>
  <c r="X720" i="1"/>
  <c r="Y720" i="1" s="1"/>
  <c r="X721" i="1"/>
  <c r="Y721" i="1" s="1"/>
  <c r="X722" i="1"/>
  <c r="Y722" i="1" s="1"/>
  <c r="X723" i="1"/>
  <c r="Y723" i="1" s="1"/>
  <c r="X724" i="1"/>
  <c r="Y724" i="1" s="1"/>
  <c r="X725" i="1"/>
  <c r="Y725" i="1" s="1"/>
  <c r="X726" i="1"/>
  <c r="Y726" i="1" s="1"/>
  <c r="X727" i="1"/>
  <c r="Y727" i="1" s="1"/>
  <c r="X728" i="1"/>
  <c r="Y728" i="1" s="1"/>
  <c r="X729" i="1"/>
  <c r="Y729" i="1" s="1"/>
  <c r="X730" i="1"/>
  <c r="Y730" i="1" s="1"/>
  <c r="X731" i="1"/>
  <c r="Y731" i="1" s="1"/>
  <c r="X732" i="1"/>
  <c r="Y732" i="1" s="1"/>
  <c r="X733" i="1"/>
  <c r="Y733" i="1" s="1"/>
  <c r="X734" i="1"/>
  <c r="Y734" i="1" s="1"/>
  <c r="X735" i="1"/>
  <c r="Y735" i="1" s="1"/>
  <c r="X736" i="1"/>
  <c r="Y736" i="1" s="1"/>
  <c r="X737" i="1"/>
  <c r="Y737" i="1" s="1"/>
  <c r="X738" i="1"/>
  <c r="Y738" i="1" s="1"/>
  <c r="X739" i="1"/>
  <c r="Y739" i="1" s="1"/>
  <c r="X740" i="1"/>
  <c r="Y740" i="1" s="1"/>
  <c r="X741" i="1"/>
  <c r="Y741" i="1" s="1"/>
  <c r="X742" i="1"/>
  <c r="Y742" i="1" s="1"/>
  <c r="X743" i="1"/>
  <c r="Y743" i="1" s="1"/>
  <c r="X744" i="1"/>
  <c r="Y744" i="1" s="1"/>
  <c r="X745" i="1"/>
  <c r="Y745" i="1" s="1"/>
  <c r="X746" i="1"/>
  <c r="Y746" i="1" s="1"/>
  <c r="X747" i="1"/>
  <c r="Y747" i="1" s="1"/>
  <c r="X748" i="1"/>
  <c r="Y748" i="1" s="1"/>
  <c r="X749" i="1"/>
  <c r="Y749" i="1" s="1"/>
  <c r="X750" i="1"/>
  <c r="Y750" i="1" s="1"/>
  <c r="X751" i="1"/>
  <c r="Y751" i="1" s="1"/>
  <c r="X752" i="1"/>
  <c r="Y752" i="1" s="1"/>
  <c r="X753" i="1"/>
  <c r="Y753" i="1" s="1"/>
  <c r="X754" i="1"/>
  <c r="Y754" i="1" s="1"/>
  <c r="X755" i="1"/>
  <c r="Y755" i="1" s="1"/>
  <c r="X756" i="1"/>
  <c r="Y756" i="1" s="1"/>
  <c r="X757" i="1"/>
  <c r="Y757" i="1" s="1"/>
  <c r="X758" i="1"/>
  <c r="Y758" i="1" s="1"/>
  <c r="X759" i="1"/>
  <c r="Y759" i="1" s="1"/>
  <c r="X760" i="1"/>
  <c r="Y760" i="1" s="1"/>
  <c r="X761" i="1"/>
  <c r="Y761" i="1" s="1"/>
  <c r="X762" i="1"/>
  <c r="Y762" i="1" s="1"/>
  <c r="X763" i="1"/>
  <c r="Y763" i="1" s="1"/>
  <c r="X764" i="1"/>
  <c r="Y764" i="1" s="1"/>
  <c r="X765" i="1"/>
  <c r="Y765" i="1" s="1"/>
  <c r="X766" i="1"/>
  <c r="Y766" i="1" s="1"/>
  <c r="X767" i="1"/>
  <c r="Y767" i="1" s="1"/>
  <c r="X768" i="1"/>
  <c r="Y768" i="1" s="1"/>
  <c r="X769" i="1"/>
  <c r="Y769" i="1" s="1"/>
  <c r="X770" i="1"/>
  <c r="Y770" i="1" s="1"/>
  <c r="X771" i="1"/>
  <c r="Y771" i="1" s="1"/>
  <c r="X772" i="1"/>
  <c r="Y772" i="1" s="1"/>
  <c r="X773" i="1"/>
  <c r="Y773" i="1" s="1"/>
  <c r="X774" i="1"/>
  <c r="Y774" i="1" s="1"/>
  <c r="X775" i="1"/>
  <c r="Y775" i="1" s="1"/>
  <c r="X776" i="1"/>
  <c r="Y776" i="1" s="1"/>
  <c r="X777" i="1"/>
  <c r="Y777" i="1" s="1"/>
  <c r="X778" i="1"/>
  <c r="Y778" i="1" s="1"/>
  <c r="X779" i="1"/>
  <c r="Y779" i="1" s="1"/>
  <c r="X780" i="1"/>
  <c r="Y780" i="1" s="1"/>
  <c r="X781" i="1"/>
  <c r="Y781" i="1" s="1"/>
  <c r="X782" i="1"/>
  <c r="Y782" i="1" s="1"/>
  <c r="X783" i="1"/>
  <c r="Y783" i="1" s="1"/>
  <c r="X784" i="1"/>
  <c r="Y784" i="1" s="1"/>
  <c r="X785" i="1"/>
  <c r="Y785" i="1" s="1"/>
  <c r="X786" i="1"/>
  <c r="Y786" i="1" s="1"/>
  <c r="X787" i="1"/>
  <c r="Y787" i="1" s="1"/>
  <c r="X788" i="1"/>
  <c r="Y788" i="1" s="1"/>
  <c r="X789" i="1"/>
  <c r="Y789" i="1" s="1"/>
  <c r="X790" i="1"/>
  <c r="Y790" i="1" s="1"/>
  <c r="X791" i="1"/>
  <c r="Y791" i="1" s="1"/>
  <c r="X792" i="1"/>
  <c r="Y792" i="1" s="1"/>
  <c r="X793" i="1"/>
  <c r="Y793" i="1" s="1"/>
  <c r="X794" i="1"/>
  <c r="Y794" i="1" s="1"/>
  <c r="X795" i="1"/>
  <c r="Y795" i="1" s="1"/>
  <c r="X796" i="1"/>
  <c r="Y796" i="1" s="1"/>
  <c r="X797" i="1"/>
  <c r="Y797" i="1" s="1"/>
  <c r="X798" i="1"/>
  <c r="Y798" i="1" s="1"/>
  <c r="X799" i="1"/>
  <c r="Y799" i="1" s="1"/>
  <c r="X800" i="1"/>
  <c r="Y800" i="1" s="1"/>
  <c r="X801" i="1"/>
  <c r="Y801" i="1" s="1"/>
  <c r="X802" i="1"/>
  <c r="Y802" i="1" s="1"/>
  <c r="X803" i="1"/>
  <c r="Y803" i="1" s="1"/>
  <c r="X804" i="1"/>
  <c r="Y804" i="1" s="1"/>
  <c r="X805" i="1"/>
  <c r="Y805" i="1" s="1"/>
  <c r="X806" i="1"/>
  <c r="Y806" i="1" s="1"/>
  <c r="X807" i="1"/>
  <c r="Y807" i="1" s="1"/>
  <c r="X808" i="1"/>
  <c r="Y808" i="1" s="1"/>
  <c r="X809" i="1"/>
  <c r="Y809" i="1" s="1"/>
  <c r="X810" i="1"/>
  <c r="Y810" i="1" s="1"/>
  <c r="X811" i="1"/>
  <c r="Y811" i="1" s="1"/>
  <c r="X812" i="1"/>
  <c r="Y812" i="1" s="1"/>
  <c r="X813" i="1"/>
  <c r="Y813" i="1" s="1"/>
  <c r="X814" i="1"/>
  <c r="Y814" i="1" s="1"/>
  <c r="X815" i="1"/>
  <c r="Y815" i="1" s="1"/>
  <c r="X816" i="1"/>
  <c r="Y816" i="1" s="1"/>
  <c r="X817" i="1"/>
  <c r="Y817" i="1" s="1"/>
  <c r="X818" i="1"/>
  <c r="Y818" i="1" s="1"/>
  <c r="X819" i="1"/>
  <c r="Y819" i="1" s="1"/>
  <c r="X820" i="1"/>
  <c r="Y820" i="1" s="1"/>
  <c r="X821" i="1"/>
  <c r="Y821" i="1" s="1"/>
  <c r="X822" i="1"/>
  <c r="Y822" i="1" s="1"/>
  <c r="X823" i="1"/>
  <c r="Y823" i="1" s="1"/>
  <c r="X824" i="1"/>
  <c r="Y824" i="1" s="1"/>
  <c r="X825" i="1"/>
  <c r="Y825" i="1" s="1"/>
  <c r="X826" i="1"/>
  <c r="Y826" i="1" s="1"/>
  <c r="X827" i="1"/>
  <c r="Y827" i="1" s="1"/>
  <c r="X828" i="1"/>
  <c r="Y828" i="1" s="1"/>
  <c r="X829" i="1"/>
  <c r="Y829" i="1" s="1"/>
  <c r="X830" i="1"/>
  <c r="Y830" i="1" s="1"/>
  <c r="X831" i="1"/>
  <c r="Y831" i="1" s="1"/>
  <c r="X832" i="1"/>
  <c r="Y832" i="1" s="1"/>
  <c r="X833" i="1"/>
  <c r="Y833" i="1" s="1"/>
  <c r="X834" i="1"/>
  <c r="Y834" i="1" s="1"/>
  <c r="X835" i="1"/>
  <c r="Y835" i="1" s="1"/>
  <c r="X836" i="1"/>
  <c r="Y836" i="1" s="1"/>
  <c r="X837" i="1"/>
  <c r="Y837" i="1" s="1"/>
  <c r="X838" i="1"/>
  <c r="Y838" i="1" s="1"/>
  <c r="X839" i="1"/>
  <c r="Y839" i="1" s="1"/>
  <c r="X840" i="1"/>
  <c r="Y840" i="1" s="1"/>
  <c r="X841" i="1"/>
  <c r="Y841" i="1" s="1"/>
  <c r="X842" i="1"/>
  <c r="Y842" i="1" s="1"/>
  <c r="X843" i="1"/>
  <c r="Y843" i="1" s="1"/>
  <c r="X844" i="1"/>
  <c r="Y844" i="1" s="1"/>
  <c r="X845" i="1"/>
  <c r="Y845" i="1" s="1"/>
  <c r="X846" i="1"/>
  <c r="Y846" i="1" s="1"/>
  <c r="X847" i="1"/>
  <c r="Y847" i="1" s="1"/>
  <c r="X848" i="1"/>
  <c r="Y848" i="1" s="1"/>
  <c r="X849" i="1"/>
  <c r="Y849" i="1" s="1"/>
  <c r="X850" i="1"/>
  <c r="Y850" i="1" s="1"/>
  <c r="X851" i="1"/>
  <c r="Y851" i="1" s="1"/>
  <c r="X852" i="1"/>
  <c r="Y852" i="1" s="1"/>
  <c r="X853" i="1"/>
  <c r="Y853" i="1" s="1"/>
  <c r="X854" i="1"/>
  <c r="Y854" i="1" s="1"/>
  <c r="X855" i="1"/>
  <c r="Y855" i="1" s="1"/>
  <c r="X856" i="1"/>
  <c r="Y856" i="1" s="1"/>
  <c r="X857" i="1"/>
  <c r="Y857" i="1" s="1"/>
  <c r="X858" i="1"/>
  <c r="Y858" i="1" s="1"/>
  <c r="X859" i="1"/>
  <c r="Y859" i="1" s="1"/>
  <c r="X860" i="1"/>
  <c r="Y860" i="1" s="1"/>
  <c r="X861" i="1"/>
  <c r="Y861" i="1" s="1"/>
  <c r="X862" i="1"/>
  <c r="Y862" i="1" s="1"/>
  <c r="X863" i="1"/>
  <c r="Y863" i="1" s="1"/>
  <c r="X864" i="1"/>
  <c r="Y864" i="1" s="1"/>
  <c r="X865" i="1"/>
  <c r="Y865" i="1" s="1"/>
  <c r="X866" i="1"/>
  <c r="Y866" i="1" s="1"/>
  <c r="X867" i="1"/>
  <c r="Y867" i="1" s="1"/>
  <c r="X868" i="1"/>
  <c r="Y868" i="1" s="1"/>
  <c r="X869" i="1"/>
  <c r="Y869" i="1" s="1"/>
  <c r="X870" i="1"/>
  <c r="Y870" i="1" s="1"/>
  <c r="X871" i="1"/>
  <c r="Y871" i="1" s="1"/>
  <c r="X872" i="1"/>
  <c r="Y872" i="1" s="1"/>
  <c r="X873" i="1"/>
  <c r="Y873" i="1" s="1"/>
  <c r="X874" i="1"/>
  <c r="Y874" i="1" s="1"/>
  <c r="X875" i="1"/>
  <c r="Y875" i="1" s="1"/>
  <c r="X876" i="1"/>
  <c r="Y876" i="1" s="1"/>
  <c r="X877" i="1"/>
  <c r="Y877" i="1" s="1"/>
  <c r="X878" i="1"/>
  <c r="Y878" i="1" s="1"/>
  <c r="X879" i="1"/>
  <c r="Y879" i="1" s="1"/>
  <c r="X880" i="1"/>
  <c r="Y880" i="1" s="1"/>
  <c r="X881" i="1"/>
  <c r="Y881" i="1" s="1"/>
  <c r="X882" i="1"/>
  <c r="Y882" i="1" s="1"/>
  <c r="X883" i="1"/>
  <c r="Y883" i="1" s="1"/>
  <c r="X884" i="1"/>
  <c r="Y884" i="1" s="1"/>
  <c r="X885" i="1"/>
  <c r="Y885" i="1" s="1"/>
  <c r="X886" i="1"/>
  <c r="Y886" i="1" s="1"/>
  <c r="X887" i="1"/>
  <c r="Y887" i="1" s="1"/>
  <c r="X888" i="1"/>
  <c r="Y888" i="1" s="1"/>
  <c r="X889" i="1"/>
  <c r="Y889" i="1" s="1"/>
  <c r="X890" i="1"/>
  <c r="Y890" i="1" s="1"/>
  <c r="X891" i="1"/>
  <c r="Y891" i="1" s="1"/>
  <c r="X892" i="1"/>
  <c r="Y892" i="1" s="1"/>
  <c r="X893" i="1"/>
  <c r="Y893" i="1" s="1"/>
  <c r="X894" i="1"/>
  <c r="Y894" i="1" s="1"/>
  <c r="X895" i="1"/>
  <c r="Y895" i="1" s="1"/>
  <c r="X896" i="1"/>
  <c r="Y896" i="1" s="1"/>
  <c r="X897" i="1"/>
  <c r="Y897" i="1" s="1"/>
  <c r="X898" i="1"/>
  <c r="Y898" i="1" s="1"/>
  <c r="X899" i="1"/>
  <c r="Y899" i="1" s="1"/>
  <c r="X900" i="1"/>
  <c r="Y900" i="1" s="1"/>
  <c r="X901" i="1"/>
  <c r="Y901" i="1" s="1"/>
  <c r="X902" i="1"/>
  <c r="Y902" i="1" s="1"/>
  <c r="X903" i="1"/>
  <c r="Y903" i="1" s="1"/>
  <c r="X904" i="1"/>
  <c r="Y904" i="1" s="1"/>
  <c r="X905" i="1"/>
  <c r="Y905" i="1" s="1"/>
  <c r="X906" i="1"/>
  <c r="Y906" i="1" s="1"/>
  <c r="X907" i="1"/>
  <c r="Y907" i="1" s="1"/>
  <c r="X908" i="1"/>
  <c r="Y908" i="1" s="1"/>
  <c r="X909" i="1"/>
  <c r="Y909" i="1" s="1"/>
  <c r="X910" i="1"/>
  <c r="Y910" i="1" s="1"/>
  <c r="X911" i="1"/>
  <c r="Y911" i="1" s="1"/>
  <c r="X912" i="1"/>
  <c r="Y912" i="1" s="1"/>
  <c r="X913" i="1"/>
  <c r="Y913" i="1" s="1"/>
  <c r="X914" i="1"/>
  <c r="Y914" i="1" s="1"/>
  <c r="X915" i="1"/>
  <c r="Y915" i="1" s="1"/>
  <c r="X916" i="1"/>
  <c r="Y916" i="1" s="1"/>
  <c r="X917" i="1"/>
  <c r="Y917" i="1" s="1"/>
  <c r="X918" i="1"/>
  <c r="Y918" i="1" s="1"/>
  <c r="X919" i="1"/>
  <c r="Y919" i="1" s="1"/>
  <c r="X920" i="1"/>
  <c r="Y920" i="1" s="1"/>
  <c r="X921" i="1"/>
  <c r="Y921" i="1" s="1"/>
  <c r="X922" i="1"/>
  <c r="Y922" i="1" s="1"/>
  <c r="X923" i="1"/>
  <c r="Y923" i="1" s="1"/>
  <c r="X924" i="1"/>
  <c r="Y924" i="1" s="1"/>
  <c r="X925" i="1"/>
  <c r="Y925" i="1" s="1"/>
  <c r="X926" i="1"/>
  <c r="Y926" i="1" s="1"/>
  <c r="X927" i="1"/>
  <c r="Y927" i="1" s="1"/>
  <c r="X928" i="1"/>
  <c r="Y928" i="1" s="1"/>
  <c r="X929" i="1"/>
  <c r="Y929" i="1" s="1"/>
  <c r="X930" i="1"/>
  <c r="Y930" i="1" s="1"/>
  <c r="X931" i="1"/>
  <c r="Y931" i="1" s="1"/>
  <c r="X932" i="1"/>
  <c r="Y932" i="1" s="1"/>
  <c r="X933" i="1"/>
  <c r="Y933" i="1" s="1"/>
  <c r="X934" i="1"/>
  <c r="Y934" i="1" s="1"/>
  <c r="X935" i="1"/>
  <c r="Y935" i="1" s="1"/>
  <c r="X936" i="1"/>
  <c r="Y936" i="1" s="1"/>
  <c r="X937" i="1"/>
  <c r="Y937" i="1" s="1"/>
  <c r="X938" i="1"/>
  <c r="Y938" i="1" s="1"/>
  <c r="X939" i="1"/>
  <c r="Y939" i="1" s="1"/>
  <c r="X940" i="1"/>
  <c r="Y940" i="1" s="1"/>
  <c r="X941" i="1"/>
  <c r="Y941" i="1" s="1"/>
  <c r="X942" i="1"/>
  <c r="Y942" i="1" s="1"/>
  <c r="X943" i="1"/>
  <c r="Y943" i="1" s="1"/>
  <c r="X944" i="1"/>
  <c r="Y944" i="1" s="1"/>
  <c r="X945" i="1"/>
  <c r="Y945" i="1" s="1"/>
  <c r="X946" i="1"/>
  <c r="Y946" i="1" s="1"/>
  <c r="X947" i="1"/>
  <c r="Y947" i="1" s="1"/>
  <c r="X948" i="1"/>
  <c r="Y948" i="1" s="1"/>
  <c r="X949" i="1"/>
  <c r="Y949" i="1" s="1"/>
  <c r="X950" i="1"/>
  <c r="Y950" i="1" s="1"/>
  <c r="X951" i="1"/>
  <c r="Y951" i="1" s="1"/>
  <c r="X952" i="1"/>
  <c r="Y952" i="1" s="1"/>
  <c r="X953" i="1"/>
  <c r="Y953" i="1" s="1"/>
  <c r="X954" i="1"/>
  <c r="Y954" i="1" s="1"/>
  <c r="X955" i="1"/>
  <c r="Y955" i="1" s="1"/>
  <c r="X956" i="1"/>
  <c r="Y956" i="1" s="1"/>
  <c r="X957" i="1"/>
  <c r="Y957" i="1" s="1"/>
  <c r="X958" i="1"/>
  <c r="Y958" i="1" s="1"/>
  <c r="X959" i="1"/>
  <c r="Y959" i="1" s="1"/>
  <c r="X960" i="1"/>
  <c r="Y960" i="1" s="1"/>
  <c r="X961" i="1"/>
  <c r="Y961" i="1" s="1"/>
  <c r="X962" i="1"/>
  <c r="Y962" i="1" s="1"/>
  <c r="X963" i="1"/>
  <c r="Y963" i="1" s="1"/>
  <c r="X964" i="1"/>
  <c r="Y964" i="1" s="1"/>
  <c r="X965" i="1"/>
  <c r="Y965" i="1" s="1"/>
  <c r="X966" i="1"/>
  <c r="Y966" i="1" s="1"/>
  <c r="X967" i="1"/>
  <c r="Y967" i="1" s="1"/>
  <c r="X968" i="1"/>
  <c r="Y968" i="1" s="1"/>
  <c r="X969" i="1"/>
  <c r="Y969" i="1" s="1"/>
  <c r="X970" i="1"/>
  <c r="Y970" i="1" s="1"/>
  <c r="X971" i="1"/>
  <c r="Y971" i="1" s="1"/>
  <c r="X972" i="1"/>
  <c r="Y972" i="1" s="1"/>
  <c r="X973" i="1"/>
  <c r="Y973" i="1" s="1"/>
  <c r="X974" i="1"/>
  <c r="Y974" i="1" s="1"/>
  <c r="X975" i="1"/>
  <c r="Y975" i="1" s="1"/>
  <c r="X976" i="1"/>
  <c r="Y976" i="1" s="1"/>
  <c r="X977" i="1"/>
  <c r="Y977" i="1" s="1"/>
  <c r="X978" i="1"/>
  <c r="Y978" i="1" s="1"/>
  <c r="X979" i="1"/>
  <c r="Y979" i="1" s="1"/>
  <c r="X980" i="1"/>
  <c r="Y980" i="1" s="1"/>
  <c r="X981" i="1"/>
  <c r="Y981" i="1" s="1"/>
  <c r="X982" i="1"/>
  <c r="Y982" i="1" s="1"/>
  <c r="X983" i="1"/>
  <c r="Y983" i="1" s="1"/>
  <c r="X984" i="1"/>
  <c r="Y984" i="1" s="1"/>
  <c r="X985" i="1"/>
  <c r="Y985" i="1" s="1"/>
  <c r="X986" i="1"/>
  <c r="Y986" i="1" s="1"/>
  <c r="X987" i="1"/>
  <c r="Y987" i="1" s="1"/>
  <c r="X988" i="1"/>
  <c r="Y988" i="1" s="1"/>
  <c r="X989" i="1"/>
  <c r="Y989" i="1" s="1"/>
  <c r="X990" i="1"/>
  <c r="Y990" i="1" s="1"/>
  <c r="X991" i="1"/>
  <c r="Y991" i="1" s="1"/>
  <c r="X992" i="1"/>
  <c r="Y992" i="1" s="1"/>
  <c r="X993" i="1"/>
  <c r="Y993" i="1" s="1"/>
  <c r="X994" i="1"/>
  <c r="Y994" i="1" s="1"/>
  <c r="X995" i="1"/>
  <c r="Y995" i="1" s="1"/>
  <c r="X996" i="1"/>
  <c r="Y996" i="1" s="1"/>
  <c r="X997" i="1"/>
  <c r="Y997" i="1" s="1"/>
  <c r="X998" i="1"/>
  <c r="Y998" i="1" s="1"/>
  <c r="X3" i="1"/>
  <c r="Y3" i="1" s="1"/>
  <c r="Y22" i="1"/>
  <c r="Y59" i="1"/>
  <c r="Y122" i="1"/>
  <c r="Y142" i="1"/>
  <c r="Y164" i="1"/>
  <c r="Y175" i="1"/>
  <c r="Y206" i="1"/>
  <c r="Y226" i="1"/>
  <c r="Y235" i="1"/>
  <c r="Y241" i="1"/>
  <c r="AH33" i="1" l="1"/>
  <c r="AI33" i="1" s="1"/>
  <c r="AH32" i="1"/>
  <c r="AI32" i="1" s="1"/>
  <c r="AH27" i="1"/>
  <c r="AI27" i="1" s="1"/>
  <c r="AH26" i="1"/>
  <c r="AI26" i="1" s="1"/>
  <c r="AH25" i="1"/>
  <c r="AI25" i="1" s="1"/>
  <c r="AH14" i="1"/>
  <c r="AH6" i="1"/>
  <c r="AH531" i="1"/>
  <c r="AI531" i="1" s="1"/>
  <c r="AH519" i="1"/>
  <c r="AI519" i="1" s="1"/>
  <c r="AH507" i="1"/>
  <c r="AI507" i="1" s="1"/>
  <c r="AH495" i="1"/>
  <c r="AI495" i="1" s="1"/>
  <c r="AH471" i="1"/>
  <c r="AI471" i="1" s="1"/>
  <c r="AH447" i="1"/>
  <c r="AI447" i="1" s="1"/>
  <c r="AH435" i="1"/>
  <c r="AI435" i="1" s="1"/>
  <c r="AH411" i="1"/>
  <c r="AI411" i="1" s="1"/>
  <c r="AH387" i="1"/>
  <c r="AI387" i="1" s="1"/>
  <c r="AH351" i="1"/>
  <c r="AI351" i="1" s="1"/>
  <c r="AH327" i="1"/>
  <c r="AI327" i="1" s="1"/>
  <c r="AH291" i="1"/>
  <c r="AI291" i="1" s="1"/>
  <c r="AH267" i="1"/>
  <c r="AI267" i="1" s="1"/>
  <c r="AH255" i="1"/>
  <c r="AI255" i="1" s="1"/>
  <c r="AH231" i="1"/>
  <c r="AI231" i="1" s="1"/>
  <c r="AH95" i="1"/>
  <c r="AI95" i="1" s="1"/>
  <c r="AH35" i="1"/>
  <c r="AH166" i="1"/>
  <c r="AI166" i="1" s="1"/>
  <c r="AH34" i="1"/>
  <c r="AI34" i="1" s="1"/>
  <c r="AH9" i="1"/>
  <c r="AH505" i="1"/>
  <c r="AI505" i="1" s="1"/>
  <c r="AH493" i="1"/>
  <c r="AI493" i="1" s="1"/>
  <c r="AH445" i="1"/>
  <c r="AI445" i="1" s="1"/>
  <c r="AH433" i="1"/>
  <c r="AI433" i="1" s="1"/>
  <c r="AH385" i="1"/>
  <c r="AI385" i="1" s="1"/>
  <c r="AH373" i="1"/>
  <c r="AI373" i="1" s="1"/>
  <c r="AH325" i="1"/>
  <c r="AI325" i="1" s="1"/>
  <c r="AH313" i="1"/>
  <c r="AI313" i="1" s="1"/>
  <c r="AH265" i="1"/>
  <c r="AI265" i="1" s="1"/>
  <c r="AH253" i="1"/>
  <c r="AI253" i="1" s="1"/>
  <c r="AH213" i="1"/>
  <c r="AI213" i="1" s="1"/>
  <c r="AH165" i="1"/>
  <c r="AI165" i="1" s="1"/>
  <c r="AH105" i="1"/>
  <c r="AI105" i="1" s="1"/>
  <c r="AH45" i="1"/>
  <c r="AI45" i="1" s="1"/>
  <c r="AH7" i="1"/>
  <c r="AI8" i="1" s="1"/>
  <c r="AH498" i="1"/>
  <c r="AI498" i="1" s="1"/>
  <c r="AH246" i="1"/>
  <c r="AI246" i="1" s="1"/>
  <c r="AH324" i="1"/>
  <c r="AI324" i="1" s="1"/>
  <c r="AH152" i="1"/>
  <c r="AI152" i="1" s="1"/>
  <c r="AH128" i="1"/>
  <c r="AI128" i="1" s="1"/>
  <c r="AH68" i="1"/>
  <c r="AI68" i="1" s="1"/>
  <c r="AH151" i="1"/>
  <c r="AI151" i="1" s="1"/>
  <c r="AH115" i="1"/>
  <c r="AI115" i="1" s="1"/>
  <c r="AH91" i="1"/>
  <c r="AI91" i="1" s="1"/>
  <c r="AH67" i="1"/>
  <c r="AI67" i="1" s="1"/>
  <c r="AH31" i="1"/>
  <c r="AI31" i="1" s="1"/>
  <c r="AH526" i="1"/>
  <c r="AI526" i="1" s="1"/>
  <c r="AH502" i="1"/>
  <c r="AI502" i="1" s="1"/>
  <c r="AH490" i="1"/>
  <c r="AI490" i="1" s="1"/>
  <c r="AH466" i="1"/>
  <c r="AI466" i="1" s="1"/>
  <c r="AH454" i="1"/>
  <c r="AI454" i="1" s="1"/>
  <c r="AH406" i="1"/>
  <c r="AI406" i="1" s="1"/>
  <c r="AH370" i="1"/>
  <c r="AI370" i="1" s="1"/>
  <c r="AH334" i="1"/>
  <c r="AI334" i="1" s="1"/>
  <c r="AH286" i="1"/>
  <c r="AI286" i="1" s="1"/>
  <c r="AH250" i="1"/>
  <c r="AI250" i="1" s="1"/>
  <c r="AH54" i="1"/>
  <c r="AI54" i="1" s="1"/>
  <c r="AH185" i="1"/>
  <c r="AI185" i="1" s="1"/>
  <c r="AH53" i="1"/>
  <c r="AI53" i="1" s="1"/>
  <c r="AH536" i="1"/>
  <c r="AI536" i="1" s="1"/>
  <c r="AH524" i="1"/>
  <c r="AI524" i="1" s="1"/>
  <c r="AH488" i="1"/>
  <c r="AI488" i="1" s="1"/>
  <c r="AH476" i="1"/>
  <c r="AI476" i="1" s="1"/>
  <c r="AH452" i="1"/>
  <c r="AI452" i="1" s="1"/>
  <c r="AH428" i="1"/>
  <c r="AI428" i="1" s="1"/>
  <c r="AH392" i="1"/>
  <c r="AI392" i="1" s="1"/>
  <c r="AH368" i="1"/>
  <c r="AI368" i="1" s="1"/>
  <c r="AH356" i="1"/>
  <c r="AI356" i="1" s="1"/>
  <c r="AH308" i="1"/>
  <c r="AI308" i="1" s="1"/>
  <c r="AH272" i="1"/>
  <c r="AI272" i="1" s="1"/>
  <c r="AH236" i="1"/>
  <c r="AI236" i="1" s="1"/>
  <c r="AH5" i="1"/>
  <c r="AH208" i="1"/>
  <c r="AI208" i="1" s="1"/>
  <c r="AH207" i="1"/>
  <c r="AI207" i="1" s="1"/>
  <c r="AH87" i="1"/>
  <c r="AI87" i="1" s="1"/>
  <c r="AH288" i="1"/>
  <c r="AI288" i="1" s="1"/>
  <c r="AH194" i="1"/>
  <c r="AI194" i="1" s="1"/>
  <c r="AH110" i="1"/>
  <c r="AI110" i="1" s="1"/>
  <c r="AH133" i="1"/>
  <c r="AI133" i="1" s="1"/>
  <c r="AH73" i="1"/>
  <c r="AI73" i="1" s="1"/>
  <c r="AH15" i="1"/>
  <c r="AH44" i="1"/>
  <c r="AI44" i="1" s="1"/>
  <c r="AH512" i="1"/>
  <c r="AI512" i="1" s="1"/>
  <c r="AH470" i="1"/>
  <c r="AI470" i="1" s="1"/>
  <c r="AH456" i="1"/>
  <c r="AI456" i="1" s="1"/>
  <c r="AH414" i="1"/>
  <c r="AI414" i="1" s="1"/>
  <c r="AH386" i="1"/>
  <c r="AI386" i="1" s="1"/>
  <c r="AH372" i="1"/>
  <c r="AI372" i="1" s="1"/>
  <c r="AH330" i="1"/>
  <c r="AI330" i="1" s="1"/>
  <c r="AH316" i="1"/>
  <c r="AI316" i="1" s="1"/>
  <c r="AH274" i="1"/>
  <c r="AI274" i="1" s="1"/>
  <c r="AH232" i="1"/>
  <c r="AI232" i="1" s="1"/>
  <c r="AH190" i="1"/>
  <c r="AI190" i="1" s="1"/>
  <c r="AH176" i="1"/>
  <c r="AI176" i="1" s="1"/>
  <c r="AH134" i="1"/>
  <c r="AI134" i="1" s="1"/>
  <c r="AH106" i="1"/>
  <c r="AI106" i="1" s="1"/>
  <c r="AH92" i="1"/>
  <c r="AI92" i="1" s="1"/>
  <c r="AH50" i="1"/>
  <c r="AI50" i="1" s="1"/>
  <c r="AH36" i="1"/>
  <c r="AH284" i="1"/>
  <c r="AI284" i="1" s="1"/>
  <c r="AH529" i="1"/>
  <c r="AI529" i="1" s="1"/>
  <c r="AH389" i="1"/>
  <c r="AI389" i="1" s="1"/>
  <c r="AH249" i="1"/>
  <c r="AI249" i="1" s="1"/>
  <c r="AH109" i="1"/>
  <c r="AI109" i="1" s="1"/>
  <c r="AH429" i="1"/>
  <c r="AI429" i="1" s="1"/>
  <c r="AH289" i="1"/>
  <c r="AI289" i="1" s="1"/>
  <c r="AH149" i="1"/>
  <c r="AI149" i="1" s="1"/>
  <c r="AH469" i="1"/>
  <c r="AI469" i="1" s="1"/>
  <c r="AH329" i="1"/>
  <c r="AI329" i="1" s="1"/>
  <c r="AH189" i="1"/>
  <c r="AI189" i="1" s="1"/>
  <c r="AH49" i="1"/>
  <c r="AI49" i="1" s="1"/>
  <c r="AH492" i="1"/>
  <c r="AI492" i="1" s="1"/>
  <c r="AH450" i="1"/>
  <c r="AI450" i="1" s="1"/>
  <c r="AH436" i="1"/>
  <c r="AI436" i="1" s="1"/>
  <c r="AH394" i="1"/>
  <c r="AI394" i="1" s="1"/>
  <c r="AH352" i="1"/>
  <c r="AI352" i="1" s="1"/>
  <c r="AH310" i="1"/>
  <c r="AI310" i="1" s="1"/>
  <c r="AH296" i="1"/>
  <c r="AI296" i="1" s="1"/>
  <c r="AH254" i="1"/>
  <c r="AI254" i="1" s="1"/>
  <c r="AH226" i="1"/>
  <c r="AI226" i="1" s="1"/>
  <c r="AH212" i="1"/>
  <c r="AI212" i="1" s="1"/>
  <c r="AH170" i="1"/>
  <c r="AI170" i="1" s="1"/>
  <c r="AH156" i="1"/>
  <c r="AI156" i="1" s="1"/>
  <c r="AH114" i="1"/>
  <c r="AI114" i="1" s="1"/>
  <c r="AH72" i="1"/>
  <c r="AI72" i="1" s="1"/>
  <c r="AH30" i="1"/>
  <c r="AI30" i="1" s="1"/>
  <c r="AH16" i="1"/>
  <c r="AH404" i="1"/>
  <c r="AI404" i="1" s="1"/>
  <c r="AH124" i="1"/>
  <c r="AI124" i="1" s="1"/>
  <c r="AH509" i="1"/>
  <c r="AI509" i="1" s="1"/>
  <c r="AH369" i="1"/>
  <c r="AI369" i="1" s="1"/>
  <c r="AH229" i="1"/>
  <c r="AI229" i="1" s="1"/>
  <c r="AH89" i="1"/>
  <c r="AI89" i="1" s="1"/>
  <c r="AH444" i="1"/>
  <c r="AI444" i="1" s="1"/>
  <c r="AH164" i="1"/>
  <c r="AI164" i="1" s="1"/>
  <c r="AH409" i="1"/>
  <c r="AI409" i="1" s="1"/>
  <c r="AH269" i="1"/>
  <c r="AI269" i="1" s="1"/>
  <c r="AH129" i="1"/>
  <c r="AI129" i="1" s="1"/>
  <c r="AH484" i="1"/>
  <c r="AI484" i="1" s="1"/>
  <c r="AH204" i="1"/>
  <c r="AI204" i="1" s="1"/>
  <c r="AH449" i="1"/>
  <c r="AI449" i="1" s="1"/>
  <c r="AH309" i="1"/>
  <c r="AI309" i="1" s="1"/>
  <c r="AH169" i="1"/>
  <c r="AI169" i="1" s="1"/>
  <c r="AH29" i="1"/>
  <c r="AI29" i="1" s="1"/>
  <c r="AH514" i="1"/>
  <c r="AI514" i="1" s="1"/>
  <c r="AH500" i="1"/>
  <c r="AI500" i="1" s="1"/>
  <c r="AH472" i="1"/>
  <c r="AI472" i="1" s="1"/>
  <c r="AH430" i="1"/>
  <c r="AI430" i="1" s="1"/>
  <c r="AH416" i="1"/>
  <c r="AI416" i="1" s="1"/>
  <c r="AH374" i="1"/>
  <c r="AI374" i="1" s="1"/>
  <c r="AH346" i="1"/>
  <c r="AI346" i="1" s="1"/>
  <c r="AH332" i="1"/>
  <c r="AI332" i="1" s="1"/>
  <c r="AH290" i="1"/>
  <c r="AI290" i="1" s="1"/>
  <c r="AH276" i="1"/>
  <c r="AI276" i="1" s="1"/>
  <c r="AH234" i="1"/>
  <c r="AI234" i="1" s="1"/>
  <c r="AH192" i="1"/>
  <c r="AI192" i="1" s="1"/>
  <c r="AH150" i="1"/>
  <c r="AI150" i="1" s="1"/>
  <c r="AH136" i="1"/>
  <c r="AI136" i="1" s="1"/>
  <c r="AH94" i="1"/>
  <c r="AI94" i="1" s="1"/>
  <c r="AH66" i="1"/>
  <c r="AI66" i="1" s="1"/>
  <c r="AH52" i="1"/>
  <c r="AI52" i="1" s="1"/>
  <c r="AH518" i="1"/>
  <c r="AI518" i="1" s="1"/>
  <c r="AH244" i="1"/>
  <c r="AI244" i="1" s="1"/>
  <c r="AH489" i="1"/>
  <c r="AI489" i="1" s="1"/>
  <c r="AH349" i="1"/>
  <c r="AI349" i="1" s="1"/>
  <c r="AH209" i="1"/>
  <c r="AI209" i="1" s="1"/>
  <c r="AH69" i="1"/>
  <c r="AI69" i="1" s="1"/>
  <c r="AH13" i="1"/>
  <c r="AH464" i="1"/>
  <c r="AI464" i="1" s="1"/>
  <c r="AH424" i="1"/>
  <c r="AI424" i="1" s="1"/>
  <c r="AH384" i="1"/>
  <c r="AI384" i="1" s="1"/>
  <c r="AH344" i="1"/>
  <c r="AI344" i="1" s="1"/>
  <c r="AH304" i="1"/>
  <c r="AI304" i="1" s="1"/>
  <c r="AH264" i="1"/>
  <c r="AI264" i="1" s="1"/>
  <c r="AH224" i="1"/>
  <c r="AI224" i="1" s="1"/>
  <c r="AH184" i="1"/>
  <c r="AI184" i="1" s="1"/>
  <c r="AH144" i="1"/>
  <c r="AI144" i="1" s="1"/>
  <c r="AH104" i="1"/>
  <c r="AI104" i="1" s="1"/>
  <c r="AH64" i="1"/>
  <c r="AI64" i="1" s="1"/>
  <c r="AH24" i="1"/>
  <c r="AI24" i="1" s="1"/>
  <c r="AH483" i="1"/>
  <c r="AI483" i="1" s="1"/>
  <c r="AH403" i="1"/>
  <c r="AI403" i="1" s="1"/>
  <c r="AH343" i="1"/>
  <c r="AI343" i="1" s="1"/>
  <c r="AH283" i="1"/>
  <c r="AI283" i="1" s="1"/>
  <c r="AH243" i="1"/>
  <c r="AI243" i="1" s="1"/>
  <c r="AH163" i="1"/>
  <c r="AI163" i="1" s="1"/>
  <c r="AH103" i="1"/>
  <c r="AI103" i="1" s="1"/>
  <c r="AH43" i="1"/>
  <c r="AI43" i="1" s="1"/>
  <c r="AH463" i="1"/>
  <c r="AI463" i="1" s="1"/>
  <c r="AH423" i="1"/>
  <c r="AI423" i="1" s="1"/>
  <c r="AH363" i="1"/>
  <c r="AI363" i="1" s="1"/>
  <c r="AH323" i="1"/>
  <c r="AI323" i="1" s="1"/>
  <c r="AH303" i="1"/>
  <c r="AI303" i="1" s="1"/>
  <c r="AH263" i="1"/>
  <c r="AI263" i="1" s="1"/>
  <c r="AH223" i="1"/>
  <c r="AI223" i="1" s="1"/>
  <c r="AH183" i="1"/>
  <c r="AI183" i="1" s="1"/>
  <c r="AH123" i="1"/>
  <c r="AI123" i="1" s="1"/>
  <c r="AH83" i="1"/>
  <c r="AI83" i="1" s="1"/>
  <c r="AH63" i="1"/>
  <c r="AI63" i="1" s="1"/>
  <c r="AH23" i="1"/>
  <c r="AI23" i="1" s="1"/>
  <c r="AH482" i="1"/>
  <c r="AI482" i="1" s="1"/>
  <c r="AH462" i="1"/>
  <c r="AI462" i="1" s="1"/>
  <c r="AH442" i="1"/>
  <c r="AI442" i="1" s="1"/>
  <c r="AH422" i="1"/>
  <c r="AI422" i="1" s="1"/>
  <c r="AH402" i="1"/>
  <c r="AI402" i="1" s="1"/>
  <c r="AH382" i="1"/>
  <c r="AI382" i="1" s="1"/>
  <c r="AH362" i="1"/>
  <c r="AI362" i="1" s="1"/>
  <c r="AH342" i="1"/>
  <c r="AI342" i="1" s="1"/>
  <c r="AH322" i="1"/>
  <c r="AI322" i="1" s="1"/>
  <c r="AH302" i="1"/>
  <c r="AI302" i="1" s="1"/>
  <c r="AH282" i="1"/>
  <c r="AI282" i="1" s="1"/>
  <c r="AH262" i="1"/>
  <c r="AI262" i="1" s="1"/>
  <c r="AH242" i="1"/>
  <c r="AI242" i="1" s="1"/>
  <c r="AH222" i="1"/>
  <c r="AI222" i="1" s="1"/>
  <c r="AH202" i="1"/>
  <c r="AI202" i="1" s="1"/>
  <c r="AH182" i="1"/>
  <c r="AI182" i="1" s="1"/>
  <c r="AH162" i="1"/>
  <c r="AI162" i="1" s="1"/>
  <c r="AH142" i="1"/>
  <c r="AI142" i="1" s="1"/>
  <c r="AH122" i="1"/>
  <c r="AI122" i="1" s="1"/>
  <c r="AH102" i="1"/>
  <c r="AI102" i="1" s="1"/>
  <c r="AH82" i="1"/>
  <c r="AI82" i="1" s="1"/>
  <c r="AH62" i="1"/>
  <c r="AI62" i="1" s="1"/>
  <c r="AH42" i="1"/>
  <c r="AI42" i="1" s="1"/>
  <c r="AH22" i="1"/>
  <c r="AI22" i="1" s="1"/>
  <c r="AH478" i="1"/>
  <c r="AI478" i="1" s="1"/>
  <c r="AH458" i="1"/>
  <c r="AI458" i="1" s="1"/>
  <c r="AH438" i="1"/>
  <c r="AI438" i="1" s="1"/>
  <c r="AH418" i="1"/>
  <c r="AI418" i="1" s="1"/>
  <c r="AH398" i="1"/>
  <c r="AI398" i="1" s="1"/>
  <c r="AH378" i="1"/>
  <c r="AI378" i="1" s="1"/>
  <c r="AH358" i="1"/>
  <c r="AI358" i="1" s="1"/>
  <c r="AH338" i="1"/>
  <c r="AI338" i="1" s="1"/>
  <c r="AH318" i="1"/>
  <c r="AI318" i="1" s="1"/>
  <c r="AH298" i="1"/>
  <c r="AI298" i="1" s="1"/>
  <c r="AH278" i="1"/>
  <c r="AI278" i="1" s="1"/>
  <c r="AH258" i="1"/>
  <c r="AI258" i="1" s="1"/>
  <c r="AH238" i="1"/>
  <c r="AI238" i="1" s="1"/>
  <c r="AH218" i="1"/>
  <c r="AI218" i="1" s="1"/>
  <c r="AH198" i="1"/>
  <c r="AI198" i="1" s="1"/>
  <c r="AH178" i="1"/>
  <c r="AI178" i="1" s="1"/>
  <c r="AH158" i="1"/>
  <c r="AI158" i="1" s="1"/>
  <c r="AH138" i="1"/>
  <c r="AI138" i="1" s="1"/>
  <c r="AH118" i="1"/>
  <c r="AI118" i="1" s="1"/>
  <c r="AH98" i="1"/>
  <c r="AI98" i="1" s="1"/>
  <c r="AH78" i="1"/>
  <c r="AI78" i="1" s="1"/>
  <c r="AH58" i="1"/>
  <c r="AI58" i="1" s="1"/>
  <c r="AH38" i="1"/>
  <c r="AH18" i="1"/>
  <c r="AI18" i="1" s="1"/>
  <c r="AH443" i="1"/>
  <c r="AI443" i="1" s="1"/>
  <c r="AH383" i="1"/>
  <c r="AI383" i="1" s="1"/>
  <c r="AH203" i="1"/>
  <c r="AI203" i="1" s="1"/>
  <c r="AH441" i="1"/>
  <c r="AI441" i="1" s="1"/>
  <c r="AH381" i="1"/>
  <c r="AI381" i="1" s="1"/>
  <c r="AH341" i="1"/>
  <c r="AI341" i="1" s="1"/>
  <c r="AH261" i="1"/>
  <c r="AI261" i="1" s="1"/>
  <c r="AH201" i="1"/>
  <c r="AI201" i="1" s="1"/>
  <c r="AH141" i="1"/>
  <c r="AI141" i="1" s="1"/>
  <c r="AH61" i="1"/>
  <c r="AI61" i="1" s="1"/>
  <c r="AH480" i="1"/>
  <c r="AI480" i="1" s="1"/>
  <c r="AH460" i="1"/>
  <c r="AI460" i="1" s="1"/>
  <c r="AH440" i="1"/>
  <c r="AI440" i="1" s="1"/>
  <c r="AH420" i="1"/>
  <c r="AI420" i="1" s="1"/>
  <c r="AH400" i="1"/>
  <c r="AI400" i="1" s="1"/>
  <c r="AH380" i="1"/>
  <c r="AI380" i="1" s="1"/>
  <c r="AH360" i="1"/>
  <c r="AI360" i="1" s="1"/>
  <c r="AH340" i="1"/>
  <c r="AI340" i="1" s="1"/>
  <c r="AH320" i="1"/>
  <c r="AI320" i="1" s="1"/>
  <c r="AH300" i="1"/>
  <c r="AI300" i="1" s="1"/>
  <c r="AH280" i="1"/>
  <c r="AI280" i="1" s="1"/>
  <c r="AH260" i="1"/>
  <c r="AI260" i="1" s="1"/>
  <c r="AH240" i="1"/>
  <c r="AI240" i="1" s="1"/>
  <c r="AH220" i="1"/>
  <c r="AI220" i="1" s="1"/>
  <c r="AH200" i="1"/>
  <c r="AI200" i="1" s="1"/>
  <c r="AH180" i="1"/>
  <c r="AI180" i="1" s="1"/>
  <c r="AH160" i="1"/>
  <c r="AI160" i="1" s="1"/>
  <c r="AH140" i="1"/>
  <c r="AI140" i="1" s="1"/>
  <c r="AH120" i="1"/>
  <c r="AI120" i="1" s="1"/>
  <c r="AH100" i="1"/>
  <c r="AI100" i="1" s="1"/>
  <c r="AH80" i="1"/>
  <c r="AI80" i="1" s="1"/>
  <c r="AH60" i="1"/>
  <c r="AI60" i="1" s="1"/>
  <c r="AH40" i="1"/>
  <c r="AI40" i="1" s="1"/>
  <c r="AH20" i="1"/>
  <c r="AI20" i="1" s="1"/>
  <c r="AH143" i="1"/>
  <c r="AI143" i="1" s="1"/>
  <c r="AH481" i="1"/>
  <c r="AI481" i="1" s="1"/>
  <c r="AH461" i="1"/>
  <c r="AI461" i="1" s="1"/>
  <c r="AH421" i="1"/>
  <c r="AI421" i="1" s="1"/>
  <c r="AH401" i="1"/>
  <c r="AI401" i="1" s="1"/>
  <c r="AH361" i="1"/>
  <c r="AI361" i="1" s="1"/>
  <c r="AH321" i="1"/>
  <c r="AI321" i="1" s="1"/>
  <c r="AH301" i="1"/>
  <c r="AI301" i="1" s="1"/>
  <c r="AH281" i="1"/>
  <c r="AI281" i="1" s="1"/>
  <c r="AH241" i="1"/>
  <c r="AI241" i="1" s="1"/>
  <c r="AH221" i="1"/>
  <c r="AI221" i="1" s="1"/>
  <c r="AH181" i="1"/>
  <c r="AI181" i="1" s="1"/>
  <c r="AH161" i="1"/>
  <c r="AI161" i="1" s="1"/>
  <c r="AH121" i="1"/>
  <c r="AI121" i="1" s="1"/>
  <c r="AH101" i="1"/>
  <c r="AI101" i="1" s="1"/>
  <c r="AH81" i="1"/>
  <c r="AI81" i="1" s="1"/>
  <c r="AH41" i="1"/>
  <c r="AI41" i="1" s="1"/>
  <c r="AH21" i="1"/>
  <c r="AI21" i="1" s="1"/>
  <c r="AH479" i="1"/>
  <c r="AI479" i="1" s="1"/>
  <c r="AH459" i="1"/>
  <c r="AI459" i="1" s="1"/>
  <c r="AH439" i="1"/>
  <c r="AI439" i="1" s="1"/>
  <c r="AH419" i="1"/>
  <c r="AI419" i="1" s="1"/>
  <c r="AH399" i="1"/>
  <c r="AI399" i="1" s="1"/>
  <c r="AH379" i="1"/>
  <c r="AI379" i="1" s="1"/>
  <c r="AH359" i="1"/>
  <c r="AI359" i="1" s="1"/>
  <c r="AH339" i="1"/>
  <c r="AI339" i="1" s="1"/>
  <c r="AH319" i="1"/>
  <c r="AI319" i="1" s="1"/>
  <c r="AH299" i="1"/>
  <c r="AI299" i="1" s="1"/>
  <c r="AH279" i="1"/>
  <c r="AI279" i="1" s="1"/>
  <c r="AH259" i="1"/>
  <c r="AI259" i="1" s="1"/>
  <c r="AH239" i="1"/>
  <c r="AI239" i="1" s="1"/>
  <c r="AH219" i="1"/>
  <c r="AI219" i="1" s="1"/>
  <c r="AH199" i="1"/>
  <c r="AI199" i="1" s="1"/>
  <c r="AH179" i="1"/>
  <c r="AI179" i="1" s="1"/>
  <c r="AH159" i="1"/>
  <c r="AI159" i="1" s="1"/>
  <c r="AH139" i="1"/>
  <c r="AI139" i="1" s="1"/>
  <c r="AH119" i="1"/>
  <c r="AI119" i="1" s="1"/>
  <c r="AH99" i="1"/>
  <c r="AI99" i="1" s="1"/>
  <c r="AH79" i="1"/>
  <c r="AI79" i="1" s="1"/>
  <c r="AH59" i="1"/>
  <c r="AI59" i="1" s="1"/>
  <c r="AH39" i="1"/>
  <c r="AH19" i="1"/>
  <c r="AI19" i="1" s="1"/>
  <c r="AH4" i="1"/>
  <c r="AI4" i="1" s="1"/>
  <c r="AH517" i="1"/>
  <c r="AI517" i="1" s="1"/>
  <c r="AH497" i="1"/>
  <c r="AI497" i="1" s="1"/>
  <c r="AH477" i="1"/>
  <c r="AI477" i="1" s="1"/>
  <c r="AH457" i="1"/>
  <c r="AI457" i="1" s="1"/>
  <c r="AH437" i="1"/>
  <c r="AI437" i="1" s="1"/>
  <c r="AH417" i="1"/>
  <c r="AI417" i="1" s="1"/>
  <c r="AH397" i="1"/>
  <c r="AI397" i="1" s="1"/>
  <c r="AH377" i="1"/>
  <c r="AI377" i="1" s="1"/>
  <c r="AH357" i="1"/>
  <c r="AI357" i="1" s="1"/>
  <c r="AH337" i="1"/>
  <c r="AI337" i="1" s="1"/>
  <c r="AH317" i="1"/>
  <c r="AI317" i="1" s="1"/>
  <c r="AH297" i="1"/>
  <c r="AI297" i="1" s="1"/>
  <c r="AH277" i="1"/>
  <c r="AI277" i="1" s="1"/>
  <c r="AH257" i="1"/>
  <c r="AI257" i="1" s="1"/>
  <c r="AH237" i="1"/>
  <c r="AI237" i="1" s="1"/>
  <c r="AH217" i="1"/>
  <c r="AI217" i="1" s="1"/>
  <c r="AH197" i="1"/>
  <c r="AI197" i="1" s="1"/>
  <c r="AH177" i="1"/>
  <c r="AI177" i="1" s="1"/>
  <c r="AH157" i="1"/>
  <c r="AI157" i="1" s="1"/>
  <c r="AH137" i="1"/>
  <c r="AI137" i="1" s="1"/>
  <c r="AH117" i="1"/>
  <c r="AI117" i="1" s="1"/>
  <c r="AH97" i="1"/>
  <c r="AI97" i="1" s="1"/>
  <c r="AH77" i="1"/>
  <c r="AI77" i="1" s="1"/>
  <c r="AH57" i="1"/>
  <c r="AI57" i="1" s="1"/>
  <c r="AH37" i="1"/>
  <c r="AH17" i="1"/>
  <c r="AH12" i="1"/>
  <c r="AH11" i="1"/>
  <c r="AI37" i="1" l="1"/>
  <c r="AI35" i="1"/>
  <c r="AI36" i="1"/>
  <c r="AI38" i="1"/>
  <c r="AI39" i="1"/>
  <c r="AI15" i="1"/>
  <c r="AI14" i="1"/>
  <c r="AI16" i="1"/>
  <c r="AI17" i="1"/>
  <c r="AI11" i="1"/>
  <c r="AI12" i="1"/>
  <c r="AI10" i="1"/>
  <c r="AI9" i="1"/>
  <c r="AI13" i="1"/>
  <c r="AI7" i="1"/>
  <c r="AI5" i="1"/>
  <c r="A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Z2" authorId="0" shapeId="0" xr:uid="{550AD304-AE2A-431D-A6FE-1FA58DDB870C}">
      <text>
        <r>
          <rPr>
            <sz val="11"/>
            <color theme="1"/>
            <rFont val="Calibri"/>
            <family val="2"/>
            <scheme val="minor"/>
          </rPr>
          <t>There is no RH counter installed in the WHRS system.</t>
        </r>
      </text>
    </comment>
  </commentList>
</comments>
</file>

<file path=xl/sharedStrings.xml><?xml version="1.0" encoding="utf-8"?>
<sst xmlns="http://schemas.openxmlformats.org/spreadsheetml/2006/main" count="164" uniqueCount="48">
  <si>
    <t>DATE TIME</t>
  </si>
  <si>
    <t>VESSEL STATUS</t>
  </si>
  <si>
    <t>ME FUEL IN USE</t>
  </si>
  <si>
    <t>ME LOAD %</t>
  </si>
  <si>
    <t>ME RPM</t>
  </si>
  <si>
    <t>ME JW IN T</t>
  </si>
  <si>
    <t>ME JW OUT T</t>
  </si>
  <si>
    <t>WHRS STATUS</t>
  </si>
  <si>
    <t>WHRS KWh</t>
  </si>
  <si>
    <t>WHRS RH</t>
  </si>
  <si>
    <t>WHRS BYPASS %</t>
  </si>
  <si>
    <t>SW T</t>
  </si>
  <si>
    <t>ER T</t>
  </si>
  <si>
    <t xml:space="preserve">VESSEL COMMENTS </t>
  </si>
  <si>
    <t>VOYAGE</t>
  </si>
  <si>
    <t>ON</t>
  </si>
  <si>
    <t>LNG</t>
  </si>
  <si>
    <t>TT101（℃）</t>
    <phoneticPr fontId="7" type="noConversion"/>
  </si>
  <si>
    <t>TT06A（℃）</t>
    <phoneticPr fontId="7" type="noConversion"/>
  </si>
  <si>
    <t>TT06B（℃）</t>
    <phoneticPr fontId="7" type="noConversion"/>
  </si>
  <si>
    <t>TT05D（℃）</t>
    <phoneticPr fontId="7" type="noConversion"/>
  </si>
  <si>
    <t>TT05C（℃）</t>
    <phoneticPr fontId="7" type="noConversion"/>
  </si>
  <si>
    <t>TT02A（℃）</t>
    <phoneticPr fontId="7" type="noConversion"/>
  </si>
  <si>
    <t>PT02B（bar）</t>
    <phoneticPr fontId="7" type="noConversion"/>
  </si>
  <si>
    <t>PT02C（bar）</t>
    <phoneticPr fontId="7" type="noConversion"/>
  </si>
  <si>
    <t>PT02D（bar）</t>
    <phoneticPr fontId="7" type="noConversion"/>
  </si>
  <si>
    <t>PT02A(bar)</t>
    <phoneticPr fontId="7" type="noConversion"/>
  </si>
  <si>
    <t>WHRS NET KW TOTAL</t>
    <phoneticPr fontId="7" type="noConversion"/>
  </si>
  <si>
    <t>WHRS  KW TOTAL</t>
    <phoneticPr fontId="7" type="noConversion"/>
  </si>
  <si>
    <t>WHRS KW RECOVERED PER DAY</t>
    <phoneticPr fontId="7" type="noConversion"/>
  </si>
  <si>
    <t>WHRS  NET KW RECOVERED PER DAY</t>
    <phoneticPr fontId="7" type="noConversion"/>
  </si>
  <si>
    <t>WHRS JW FLOWRATE（m³/h）</t>
    <phoneticPr fontId="7" type="noConversion"/>
  </si>
  <si>
    <t>WHRS GENERATOR PRM</t>
    <phoneticPr fontId="7" type="noConversion"/>
  </si>
  <si>
    <t>WHRS WORKING MEDIUM PUMP RPM</t>
    <phoneticPr fontId="7" type="noConversion"/>
  </si>
  <si>
    <t>CMA CGM IGUACU</t>
  </si>
  <si>
    <t>Start System 21:00 hrs</t>
  </si>
  <si>
    <t>Gen SFOC (g/kWh)</t>
    <phoneticPr fontId="7" type="noConversion"/>
  </si>
  <si>
    <t>Fuel Price ($/mt)</t>
    <phoneticPr fontId="7" type="noConversion"/>
  </si>
  <si>
    <t>Daily ROI (USD)</t>
    <phoneticPr fontId="7" type="noConversion"/>
  </si>
  <si>
    <t>Total ROI (USD)</t>
    <phoneticPr fontId="7" type="noConversion"/>
  </si>
  <si>
    <t>EPS 15000TEU CMA CGM IGUACU WHRS LOG （M/E 55%SMCR Rated Power Output 115kW）</t>
    <phoneticPr fontId="7" type="noConversion"/>
  </si>
  <si>
    <t>VLSFO</t>
  </si>
  <si>
    <t>CROSS IDL / REPAETED DAY</t>
  </si>
  <si>
    <t>CROSS IDL  / REPAETED DAY</t>
  </si>
  <si>
    <t>PORT</t>
  </si>
  <si>
    <t>OFF</t>
  </si>
  <si>
    <t>TT04D（℃）</t>
  </si>
  <si>
    <t>DRIFT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</si>
</sst>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;"/>
    <numFmt numFmtId="165" formatCode="dd\ mmmm\ yyyy\ hh:mm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/>
    <xf numFmtId="0" fontId="5" fillId="2" borderId="0" xfId="1" applyFill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41">
    <dxf>
      <fill>
        <gradientFill type="path" left="0.5" right="0.5" top="0.5" bottom="0.5">
          <stop position="0">
            <color rgb="FFFF9999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rgb="FF00B050"/>
          </stop>
          <stop position="1">
            <color theme="2"/>
          </stop>
        </gradientFill>
      </fill>
    </dxf>
    <dxf>
      <fill>
        <gradientFill type="path" left="0.5" right="0.5" top="0.5" bottom="0.5">
          <stop position="0">
            <color rgb="FFFFCCFF"/>
          </stop>
          <stop position="1">
            <color theme="2"/>
          </stop>
        </gradientFill>
      </fill>
    </dxf>
    <dxf>
      <fill>
        <gradientFill type="path" left="0.5" right="0.5" top="0.5" bottom="0.5">
          <stop position="0">
            <color rgb="FF66FFFF"/>
          </stop>
          <stop position="1">
            <color theme="2"/>
          </stop>
        </gradientFill>
      </fill>
    </dxf>
    <dxf>
      <font>
        <b val="0"/>
        <i val="0"/>
        <color auto="1"/>
      </font>
      <fill>
        <gradientFill type="path" left="0.5" right="0.5" top="0.5" bottom="0.5">
          <stop position="0">
            <color rgb="FF00B050"/>
          </stop>
          <stop position="1">
            <color theme="2"/>
          </stop>
        </gradientFill>
      </fill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font>
        <b/>
      </font>
      <numFmt numFmtId="164" formatCode="General;;;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General;;;"/>
      <alignment horizontal="center" vertical="center" textRotation="0" wrapText="0" indent="0" justifyLastLine="0" shrinkToFit="0" readingOrder="0"/>
    </dxf>
    <dxf>
      <font>
        <b/>
      </font>
      <numFmt numFmtId="164" formatCode="General;;;"/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dd\ mmmm\ yyyy\ hh:mm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99"/>
      <color rgb="FF66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E2BB3-1466-481E-B58A-39AF9F173114}" name="Table1" displayName="Table1" ref="A2:AJ998" totalsRowShown="0">
  <autoFilter ref="A2:AJ998" xr:uid="{2F5E2BB3-1466-481E-B58A-39AF9F1731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53" xr3:uid="{9D53D44A-BF1D-4351-A9B8-E0044BE2BBAD}" name="DATE TIME" dataDxfId="40"/>
    <tableColumn id="1" xr3:uid="{FF121336-2930-4244-BD6E-A2214EF1CF11}" name="VESSEL STATUS" dataDxfId="39"/>
    <tableColumn id="2" xr3:uid="{10402A28-C252-4E76-AAB0-972DC9161649}" name="ME FUEL IN USE" dataDxfId="38"/>
    <tableColumn id="3" xr3:uid="{99C7D8CE-A57F-4B17-9F8E-23DB27168388}" name="ME LOAD %" dataDxfId="37"/>
    <tableColumn id="4" xr3:uid="{055A2281-3C53-4221-81AD-13CC525A7BAD}" name="ME RPM" dataDxfId="36"/>
    <tableColumn id="5" xr3:uid="{D6ED8872-C30C-450D-9D16-7B23487B6E30}" name="ME JW IN T" dataDxfId="35"/>
    <tableColumn id="6" xr3:uid="{25B8D5C2-49C7-4B8C-9C33-6A3F41320F6F}" name="ME JW OUT T" dataDxfId="34"/>
    <tableColumn id="21" xr3:uid="{8B7AB77F-6A27-46A9-8ECC-7982ABB67B14}" name="WHRS JW FLOWRATE（m³/h）" dataDxfId="33"/>
    <tableColumn id="18" xr3:uid="{59B2BCFD-4D51-4A40-A18F-0F6DBD3EA3C6}" name="TT101（℃）" dataDxfId="32"/>
    <tableColumn id="20" xr3:uid="{5FBF1129-06BF-4FD0-B230-2820EE81DEC6}" name="TT06A（℃）" dataDxfId="31"/>
    <tableColumn id="22" xr3:uid="{DBC5343E-BB91-4F1E-A501-B6C21A99F50E}" name="TT06B（℃）" dataDxfId="30"/>
    <tableColumn id="23" xr3:uid="{F66FAD93-CF70-46F4-8128-489684395255}" name="TT04D（℃）" dataDxfId="29"/>
    <tableColumn id="24" xr3:uid="{9288F6AC-BE65-4920-B4BD-D879301F997E}" name="TT05D（℃）" dataDxfId="28"/>
    <tableColumn id="26" xr3:uid="{53DA6EBF-7235-42EB-9722-AF8D0395B1B1}" name="TT05C（℃）" dataDxfId="27"/>
    <tableColumn id="29" xr3:uid="{4F775C3D-C8D8-475E-99F4-84A2581D8CC2}" name="TT02A（℃）" dataDxfId="26"/>
    <tableColumn id="30" xr3:uid="{E160B6F0-C066-4FB6-A9EB-FD062A49D60A}" name="PT02A(bar)" dataDxfId="25"/>
    <tableColumn id="25" xr3:uid="{CF02FA62-4F35-4E74-AF2D-D66E6F9660F8}" name="PT02B（bar）" dataDxfId="24"/>
    <tableColumn id="27" xr3:uid="{B484D213-604F-4991-B3AC-8384F81E10F3}" name="PT02C（bar）" dataDxfId="23"/>
    <tableColumn id="28" xr3:uid="{92CB4C1B-F256-438D-BC05-CA027B85A3BC}" name="PT02D（bar）" dataDxfId="22"/>
    <tableColumn id="61" xr3:uid="{6D9105EE-E9FB-4B44-BFF9-ADC208ADAF88}" name="WHRS STATUS" dataDxfId="21"/>
    <tableColumn id="60" xr3:uid="{3979D787-DB31-4186-B3AC-A1BC932902F6}" name="WHRS NET KW TOTAL" dataDxfId="20"/>
    <tableColumn id="31" xr3:uid="{CFC8FF17-631B-4A82-86DB-06291FAEC271}" name="WHRS  KW TOTAL" dataDxfId="19"/>
    <tableColumn id="32" xr3:uid="{64F1F796-14EF-41EE-90F6-743C3C1974FA}" name="WHRS  NET KW RECOVERED PER DAY" dataDxfId="18"/>
    <tableColumn id="7" xr3:uid="{25E7AC88-1A40-44D5-8EF4-02A7E53230FB}" name="WHRS KW RECOVERED PER DAY" dataDxfId="17">
      <calculatedColumnFormula>IF(Table1[[#This Row],[WHRS NET KW TOTAL]]&lt;&gt;0,Table1[[#This Row],[WHRS NET KW TOTAL]]-U2,"")</calculatedColumnFormula>
    </tableColumn>
    <tableColumn id="10" xr3:uid="{CE1953A2-48AD-4C45-A4C0-7C4540CE587C}" name="WHRS KWh" dataDxfId="16">
      <calculatedColumnFormula>IF(AND(Table1[[#This Row],[WHRS KW RECOVERED PER DAY]]&lt;&gt;0,Table1[[#This Row],[WHRS RH]]&lt;&gt;0),ROUND(Table1[[#This Row],[WHRS KW RECOVERED PER DAY]]/Table1[[#This Row],[WHRS RH]],1))</calculatedColumnFormula>
    </tableColumn>
    <tableColumn id="58" xr3:uid="{AE4B306F-561C-4BE1-BF88-CBE2960AAD7F}" name="WHRS RH" dataDxfId="15"/>
    <tableColumn id="59" xr3:uid="{2C3503C5-A886-45F9-BB7A-64AF14428211}" name="WHRS BYPASS %" dataDxfId="14"/>
    <tableColumn id="9" xr3:uid="{D27FB558-7AD0-4839-90C5-2AB252837677}" name="WHRS GENERATOR PRM" dataDxfId="13"/>
    <tableColumn id="8" xr3:uid="{74A03D66-4C19-43B8-9CBF-A3A7513C6B9F}" name="WHRS WORKING MEDIUM PUMP RPM" dataDxfId="12"/>
    <tableColumn id="64" xr3:uid="{D14E8208-F74B-4319-8268-CA3F6FB8AFAC}" name="SW T" dataDxfId="11"/>
    <tableColumn id="63" xr3:uid="{2E7BCFDF-01E7-455A-9BE3-DFFCDE64F17B}" name="ER T" dataDxfId="10"/>
    <tableColumn id="11" xr3:uid="{D009DF0D-0943-4CB8-BF55-1D2447FFDDB4}" name="Gen SFOC (g/kWh)" dataDxfId="9"/>
    <tableColumn id="12" xr3:uid="{A96F311A-41A8-48EE-A0A5-4E853F13A227}" name="Fuel Price ($/mt)" dataDxfId="8">
      <calculatedColumnFormula>IF(C4="", "", _xlfn.IFS(C4="LNG", 1345, C4="LSMGO", 1280, C4="VLSFO", 820, C4="HSFO", 635, TRUE, ""))</calculatedColumnFormula>
    </tableColumn>
    <tableColumn id="13" xr3:uid="{1DA2A46B-CE25-401C-ADEE-4068F63EAF5E}" name="Daily ROI (USD)" dataDxfId="7">
      <calculatedColumnFormula>IF(W3="","", W3 * (AG3 / 1000000) * AH3)</calculatedColumnFormula>
    </tableColumn>
    <tableColumn id="15" xr3:uid="{A9D96806-6A40-4456-9FF2-E82B6906DEA6}" name="Total ROI (USD)" dataDxfId="6">
      <calculatedColumnFormula>IF(AH3="", "", SUM($AH3:AH$4))</calculatedColumnFormula>
    </tableColumn>
    <tableColumn id="14" xr3:uid="{A52DD7DF-396D-4FBF-AD8A-A7829BFA8FD1}" name="VESSEL COMMENTS " dataDxfId="5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8"/>
  <sheetViews>
    <sheetView tabSelected="1" zoomScaleNormal="100" workbookViewId="0">
      <pane xSplit="1" ySplit="2" topLeftCell="AE25" activePane="bottomRight" state="frozen"/>
      <selection pane="topRight" activeCell="B1" sqref="B1"/>
      <selection pane="bottomLeft" activeCell="A3" sqref="A3"/>
      <selection pane="bottomRight" activeCell="AJ36" sqref="AJ36"/>
    </sheetView>
  </sheetViews>
  <sheetFormatPr defaultRowHeight="14.25"/>
  <cols>
    <col min="1" max="1" width="22.86328125" style="4" customWidth="1"/>
    <col min="2" max="2" width="14.46484375" style="1" bestFit="1" customWidth="1"/>
    <col min="3" max="3" width="14.86328125" style="1" customWidth="1"/>
    <col min="4" max="4" width="11.1328125" style="1" bestFit="1" customWidth="1"/>
    <col min="5" max="5" width="8.46484375" style="1" bestFit="1" customWidth="1"/>
    <col min="6" max="6" width="10.86328125" style="1" bestFit="1" customWidth="1"/>
    <col min="7" max="7" width="12.46484375" style="1" bestFit="1" customWidth="1"/>
    <col min="8" max="8" width="33" style="1" customWidth="1"/>
    <col min="9" max="9" width="13.46484375" style="1" customWidth="1"/>
    <col min="10" max="10" width="14.46484375" style="1" customWidth="1"/>
    <col min="11" max="11" width="12.1328125" style="1" customWidth="1"/>
    <col min="12" max="12" width="12.46484375" style="1" customWidth="1"/>
    <col min="13" max="13" width="12.86328125" style="1" customWidth="1"/>
    <col min="14" max="14" width="13.86328125" style="1" customWidth="1"/>
    <col min="15" max="15" width="15.46484375" style="1" bestFit="1" customWidth="1"/>
    <col min="16" max="16" width="16.46484375" style="1" customWidth="1"/>
    <col min="17" max="17" width="17" style="1" customWidth="1"/>
    <col min="18" max="18" width="22.1328125" style="1" customWidth="1"/>
    <col min="19" max="19" width="18.46484375" style="1" customWidth="1"/>
    <col min="20" max="20" width="20.86328125" style="1" customWidth="1"/>
    <col min="21" max="21" width="36.46484375" style="1" customWidth="1"/>
    <col min="22" max="22" width="31.46484375" style="1" customWidth="1"/>
    <col min="23" max="23" width="36.46484375" style="1" customWidth="1"/>
    <col min="24" max="24" width="32.46484375" style="1" customWidth="1"/>
    <col min="25" max="25" width="33.46484375" style="1" customWidth="1"/>
    <col min="26" max="26" width="35.46484375" style="1" customWidth="1"/>
    <col min="27" max="27" width="41.46484375" style="9" customWidth="1"/>
    <col min="28" max="28" width="29.46484375" customWidth="1"/>
    <col min="29" max="29" width="39.46484375" customWidth="1"/>
    <col min="30" max="30" width="31.86328125" customWidth="1"/>
    <col min="31" max="31" width="12.46484375" customWidth="1"/>
    <col min="32" max="32" width="20.46484375" customWidth="1"/>
    <col min="33" max="33" width="17.53125" customWidth="1"/>
    <col min="34" max="34" width="15.46484375" customWidth="1"/>
    <col min="35" max="35" width="27.86328125" customWidth="1"/>
    <col min="36" max="36" width="34.46484375" customWidth="1"/>
  </cols>
  <sheetData>
    <row r="1" spans="1:36" ht="30" customHeight="1">
      <c r="A1" s="13" t="s">
        <v>40</v>
      </c>
      <c r="B1" s="14"/>
      <c r="C1" s="14"/>
      <c r="D1" s="14"/>
      <c r="E1" s="14"/>
      <c r="F1" s="14"/>
      <c r="G1" s="14"/>
      <c r="H1" s="14"/>
      <c r="AA1" s="12"/>
    </row>
    <row r="2" spans="1:36" ht="42.75" customHeight="1">
      <c r="A2" s="5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31</v>
      </c>
      <c r="I2" s="3" t="s">
        <v>17</v>
      </c>
      <c r="J2" s="3" t="s">
        <v>18</v>
      </c>
      <c r="K2" s="3" t="s">
        <v>19</v>
      </c>
      <c r="L2" s="3" t="s">
        <v>46</v>
      </c>
      <c r="M2" s="3" t="s">
        <v>20</v>
      </c>
      <c r="N2" s="3" t="s">
        <v>21</v>
      </c>
      <c r="O2" s="3" t="s">
        <v>22</v>
      </c>
      <c r="P2" s="3" t="s">
        <v>26</v>
      </c>
      <c r="Q2" s="3" t="s">
        <v>23</v>
      </c>
      <c r="R2" s="3" t="s">
        <v>24</v>
      </c>
      <c r="S2" s="3" t="s">
        <v>25</v>
      </c>
      <c r="T2" s="2" t="s">
        <v>7</v>
      </c>
      <c r="U2" s="2" t="s">
        <v>27</v>
      </c>
      <c r="V2" s="2" t="s">
        <v>28</v>
      </c>
      <c r="W2" s="2" t="s">
        <v>30</v>
      </c>
      <c r="X2" s="2" t="s">
        <v>29</v>
      </c>
      <c r="Y2" s="2" t="s">
        <v>8</v>
      </c>
      <c r="Z2" s="2" t="s">
        <v>9</v>
      </c>
      <c r="AA2" s="2" t="s">
        <v>10</v>
      </c>
      <c r="AB2" s="2" t="s">
        <v>32</v>
      </c>
      <c r="AC2" s="2" t="s">
        <v>33</v>
      </c>
      <c r="AD2" s="2" t="s">
        <v>11</v>
      </c>
      <c r="AE2" s="2" t="s">
        <v>12</v>
      </c>
      <c r="AF2" s="2" t="s">
        <v>36</v>
      </c>
      <c r="AG2" s="2" t="s">
        <v>37</v>
      </c>
      <c r="AH2" s="2" t="s">
        <v>38</v>
      </c>
      <c r="AI2" s="2" t="s">
        <v>39</v>
      </c>
      <c r="AJ2" s="9" t="s">
        <v>13</v>
      </c>
    </row>
    <row r="3" spans="1:36">
      <c r="A3" s="7"/>
      <c r="H3" s="8" t="s">
        <v>34</v>
      </c>
      <c r="X3" s="6" t="str">
        <f>IF(Table1[[#This Row],[WHRS NET KW TOTAL]]&lt;&gt;0,Table1[[#This Row],[WHRS NET KW TOTAL]]-#REF!,"")</f>
        <v/>
      </c>
      <c r="Y3" s="6" t="b">
        <f>IF(AND(Table1[[#This Row],[WHRS KW RECOVERED PER DAY]]&lt;&gt;0,Table1[[#This Row],[WHRS RH]]&lt;&gt;0),ROUND(Table1[[#This Row],[WHRS KW RECOVERED PER DAY]]/Table1[[#This Row],[WHRS RH]],1))</f>
        <v>0</v>
      </c>
      <c r="Z3" s="8"/>
      <c r="AA3" s="1"/>
      <c r="AB3" s="1"/>
      <c r="AC3" s="1"/>
      <c r="AD3" s="1"/>
      <c r="AE3" s="1"/>
      <c r="AF3" s="1"/>
      <c r="AG3" s="1"/>
      <c r="AH3" s="1" t="str">
        <f t="shared" ref="AH3" si="0">IF(W3="","", W3 * (AG3 / 1000000) * AH3)</f>
        <v/>
      </c>
      <c r="AI3" s="1" t="str">
        <f>IF(AH3="", "", SUM($AH3:AH$4))</f>
        <v/>
      </c>
      <c r="AJ3" s="9"/>
    </row>
    <row r="4" spans="1:36" ht="42.75" customHeight="1">
      <c r="A4" s="7">
        <v>46262.958333333336</v>
      </c>
      <c r="B4" s="1" t="s">
        <v>14</v>
      </c>
      <c r="C4" s="1" t="s">
        <v>16</v>
      </c>
      <c r="D4" s="1">
        <v>53</v>
      </c>
      <c r="E4" s="1">
        <v>65</v>
      </c>
      <c r="F4" s="1">
        <v>74</v>
      </c>
      <c r="G4" s="1">
        <v>80</v>
      </c>
      <c r="H4" s="1">
        <v>258.39999999999998</v>
      </c>
      <c r="I4" s="1">
        <v>74</v>
      </c>
      <c r="J4" s="1">
        <v>78.8</v>
      </c>
      <c r="K4" s="1">
        <v>77.7</v>
      </c>
      <c r="L4" s="1">
        <v>71.400000000000006</v>
      </c>
      <c r="M4" s="1">
        <v>34</v>
      </c>
      <c r="N4" s="1">
        <v>41.6</v>
      </c>
      <c r="O4" s="1">
        <v>80.599999999999994</v>
      </c>
      <c r="P4" s="1">
        <v>3.32</v>
      </c>
      <c r="Q4" s="1">
        <v>1.97</v>
      </c>
      <c r="R4" s="1">
        <v>1.98</v>
      </c>
      <c r="S4" s="1">
        <v>4.46</v>
      </c>
      <c r="T4" s="1" t="s">
        <v>15</v>
      </c>
      <c r="U4" s="1">
        <v>575</v>
      </c>
      <c r="V4" s="1">
        <v>600</v>
      </c>
      <c r="W4" s="1">
        <v>575</v>
      </c>
      <c r="X4" s="6">
        <v>600</v>
      </c>
      <c r="Y4" s="6">
        <v>0</v>
      </c>
      <c r="Z4" s="8"/>
      <c r="AA4" s="1">
        <v>87.3</v>
      </c>
      <c r="AB4" s="1">
        <v>11940</v>
      </c>
      <c r="AC4" s="1">
        <v>1900</v>
      </c>
      <c r="AD4" s="1">
        <v>29</v>
      </c>
      <c r="AE4" s="1">
        <v>34.200000000000003</v>
      </c>
      <c r="AF4" s="1">
        <f>IF(TRIM(C4)="", "", IF(TRIM(C4)="LNG", 192.1, 182.4))</f>
        <v>192.1</v>
      </c>
      <c r="AG4" s="1">
        <f>IF(C4="", "", _xlfn.IFS(C4="LNG", 1345, C4="LSMGO", 1280, C4="VLSFO", 820, C4="HSFO", 635, TRUE, ""))</f>
        <v>1345</v>
      </c>
      <c r="AH4" s="1">
        <f>IF(OR(W4="", AF4="", AG4=""), "", W4 * (AF4 / 1000000) * AG4)</f>
        <v>148.5653375</v>
      </c>
      <c r="AI4" s="1">
        <f>IF(AH4="", "", SUM($AH$4:AH4))</f>
        <v>148.5653375</v>
      </c>
      <c r="AJ4" s="9" t="s">
        <v>35</v>
      </c>
    </row>
    <row r="5" spans="1:36">
      <c r="A5" s="7">
        <v>46263.666666666664</v>
      </c>
      <c r="B5" s="1" t="s">
        <v>14</v>
      </c>
      <c r="C5" s="1" t="s">
        <v>16</v>
      </c>
      <c r="D5" s="1">
        <v>51</v>
      </c>
      <c r="E5" s="1">
        <v>65</v>
      </c>
      <c r="F5" s="1">
        <v>77</v>
      </c>
      <c r="G5" s="1">
        <v>80</v>
      </c>
      <c r="H5" s="1">
        <v>225</v>
      </c>
      <c r="I5" s="1">
        <v>74</v>
      </c>
      <c r="J5" s="1">
        <v>77.400000000000006</v>
      </c>
      <c r="K5" s="1">
        <v>71</v>
      </c>
      <c r="L5" s="1">
        <v>67.7</v>
      </c>
      <c r="M5" s="1">
        <v>34</v>
      </c>
      <c r="N5" s="1">
        <v>43.1</v>
      </c>
      <c r="O5" s="1">
        <v>77.7</v>
      </c>
      <c r="P5" s="1">
        <v>3.96</v>
      </c>
      <c r="Q5" s="1">
        <v>2.06</v>
      </c>
      <c r="R5" s="1">
        <v>2.0099999999999998</v>
      </c>
      <c r="S5" s="1">
        <v>4.6900000000000004</v>
      </c>
      <c r="T5" s="1" t="s">
        <v>15</v>
      </c>
      <c r="U5" s="1">
        <v>2085</v>
      </c>
      <c r="V5" s="1">
        <v>2182</v>
      </c>
      <c r="W5" s="1">
        <f>Table1[[#This Row],[WHRS NET KW TOTAL]]-U4</f>
        <v>1510</v>
      </c>
      <c r="X5" s="6">
        <f>Table1[[#This Row],[WHRS  KW TOTAL]]-V4</f>
        <v>1582</v>
      </c>
      <c r="Y5" s="6">
        <f>IF(AND(Table1[[#This Row],[WHRS KW RECOVERED PER DAY]]&lt;&gt;0,Table1[[#This Row],[WHRS RH]]&lt;&gt;0),ROUND(Table1[[#This Row],[WHRS KW RECOVERED PER DAY]]/Table1[[#This Row],[WHRS RH]],1))</f>
        <v>87.9</v>
      </c>
      <c r="Z5" s="8">
        <v>18</v>
      </c>
      <c r="AA5" s="1">
        <v>91.8</v>
      </c>
      <c r="AB5" s="1">
        <v>11900</v>
      </c>
      <c r="AC5" s="1">
        <v>1902</v>
      </c>
      <c r="AD5" s="1">
        <v>28</v>
      </c>
      <c r="AE5" s="1">
        <v>34</v>
      </c>
      <c r="AF5" s="1">
        <f t="shared" ref="AF5:AF68" si="1">IF(TRIM(C5)="", "", IF(TRIM(C5)="LNG", 192.1, 182.4))</f>
        <v>192.1</v>
      </c>
      <c r="AG5" s="1">
        <f t="shared" ref="AG5:AG68" si="2">IF(C5="", "", _xlfn.IFS(C5="LNG", 1345, C5="LSMGO", 1280, C5="VLSFO", 820, C5="HSFO", 635, TRUE, ""))</f>
        <v>1345</v>
      </c>
      <c r="AH5" s="1">
        <f t="shared" ref="AH5:AH68" si="3">IF(OR(W5="", AF5="", AG5=""), "", W5 * (AF5 / 1000000) * AG5)</f>
        <v>390.14549500000004</v>
      </c>
      <c r="AI5" s="1">
        <f>IF(AH5="", "", SUM($AH$4:AH5))</f>
        <v>538.71083250000004</v>
      </c>
      <c r="AJ5" s="9"/>
    </row>
    <row r="6" spans="1:36">
      <c r="A6" s="7">
        <v>46264.625</v>
      </c>
      <c r="B6" s="1" t="s">
        <v>14</v>
      </c>
      <c r="C6" s="1" t="s">
        <v>16</v>
      </c>
      <c r="D6" s="1">
        <v>40</v>
      </c>
      <c r="E6" s="1">
        <v>57</v>
      </c>
      <c r="F6" s="1">
        <v>74</v>
      </c>
      <c r="G6" s="1">
        <v>80</v>
      </c>
      <c r="H6" s="1">
        <v>222</v>
      </c>
      <c r="I6" s="1">
        <v>73.8</v>
      </c>
      <c r="J6" s="1">
        <v>77.3</v>
      </c>
      <c r="K6" s="1">
        <v>70.900000000000006</v>
      </c>
      <c r="L6" s="1">
        <v>67.5</v>
      </c>
      <c r="M6" s="1">
        <v>27.6</v>
      </c>
      <c r="N6" s="1">
        <v>44.8</v>
      </c>
      <c r="O6" s="1">
        <v>77.3</v>
      </c>
      <c r="P6" s="1">
        <v>3.82</v>
      </c>
      <c r="Q6" s="1">
        <v>2</v>
      </c>
      <c r="R6" s="1">
        <v>1.93</v>
      </c>
      <c r="S6" s="1">
        <v>4.62</v>
      </c>
      <c r="T6" s="1" t="s">
        <v>15</v>
      </c>
      <c r="U6" s="1">
        <v>4481</v>
      </c>
      <c r="V6" s="1">
        <v>4683</v>
      </c>
      <c r="W6" s="1">
        <f>Table1[[#This Row],[WHRS NET KW TOTAL]]-U5</f>
        <v>2396</v>
      </c>
      <c r="X6" s="6">
        <f>Table1[[#This Row],[WHRS  KW TOTAL]]-V5</f>
        <v>2501</v>
      </c>
      <c r="Y6" s="6">
        <v>123</v>
      </c>
      <c r="Z6" s="8">
        <v>22</v>
      </c>
      <c r="AA6" s="1">
        <v>90.8</v>
      </c>
      <c r="AB6" s="1">
        <v>11940</v>
      </c>
      <c r="AC6" s="1">
        <v>1900</v>
      </c>
      <c r="AD6" s="1">
        <v>22</v>
      </c>
      <c r="AE6" s="1">
        <v>34</v>
      </c>
      <c r="AF6" s="1">
        <f t="shared" si="1"/>
        <v>192.1</v>
      </c>
      <c r="AG6" s="1">
        <f t="shared" si="2"/>
        <v>1345</v>
      </c>
      <c r="AH6" s="1">
        <f t="shared" si="3"/>
        <v>619.06530199999997</v>
      </c>
      <c r="AI6" s="1">
        <f>IF(AH6="", "", SUM($AH$4:AH6))</f>
        <v>1157.7761344999999</v>
      </c>
      <c r="AJ6" s="9"/>
    </row>
    <row r="7" spans="1:36">
      <c r="A7" s="7">
        <v>46265.5</v>
      </c>
      <c r="B7" s="1" t="s">
        <v>14</v>
      </c>
      <c r="C7" s="1" t="s">
        <v>16</v>
      </c>
      <c r="D7" s="1">
        <v>48</v>
      </c>
      <c r="E7" s="1">
        <v>63</v>
      </c>
      <c r="F7" s="1">
        <v>73</v>
      </c>
      <c r="G7" s="1">
        <v>80</v>
      </c>
      <c r="H7" s="1">
        <v>221</v>
      </c>
      <c r="I7" s="1">
        <v>73.900000000000006</v>
      </c>
      <c r="J7" s="1">
        <v>77.099999999999994</v>
      </c>
      <c r="K7" s="1">
        <v>71</v>
      </c>
      <c r="L7" s="1">
        <v>68.3</v>
      </c>
      <c r="M7" s="1">
        <v>27.6</v>
      </c>
      <c r="N7" s="1">
        <v>51.2</v>
      </c>
      <c r="O7" s="1">
        <v>72.63</v>
      </c>
      <c r="P7" s="1">
        <v>3.7</v>
      </c>
      <c r="Q7" s="1">
        <v>2.4700000000000002</v>
      </c>
      <c r="R7" s="1">
        <v>2.48</v>
      </c>
      <c r="S7" s="1">
        <v>4.4400000000000004</v>
      </c>
      <c r="T7" s="1" t="s">
        <v>15</v>
      </c>
      <c r="U7" s="1">
        <v>6635</v>
      </c>
      <c r="V7" s="1">
        <v>6943</v>
      </c>
      <c r="W7" s="1">
        <f>Table1[[#This Row],[WHRS NET KW TOTAL]]-U6</f>
        <v>2154</v>
      </c>
      <c r="X7" s="6">
        <f>Table1[[#This Row],[WHRS  KW TOTAL]]-V6</f>
        <v>2260</v>
      </c>
      <c r="Y7" s="6">
        <v>101.5</v>
      </c>
      <c r="Z7" s="8">
        <v>21</v>
      </c>
      <c r="AA7" s="1">
        <v>93.1</v>
      </c>
      <c r="AB7" s="1">
        <v>11925</v>
      </c>
      <c r="AC7" s="1">
        <v>2299</v>
      </c>
      <c r="AD7" s="1">
        <v>20</v>
      </c>
      <c r="AE7" s="1">
        <v>25</v>
      </c>
      <c r="AF7" s="1">
        <f t="shared" si="1"/>
        <v>192.1</v>
      </c>
      <c r="AG7" s="1">
        <f t="shared" si="2"/>
        <v>1345</v>
      </c>
      <c r="AH7" s="1">
        <f t="shared" si="3"/>
        <v>556.53867300000002</v>
      </c>
      <c r="AI7" s="1">
        <f>IF(AH7="", "", SUM($AH$4:AH7))</f>
        <v>1714.3148074999999</v>
      </c>
      <c r="AJ7" s="9"/>
    </row>
    <row r="8" spans="1:36">
      <c r="A8" s="7">
        <v>46266.166666666664</v>
      </c>
      <c r="B8" s="1" t="s">
        <v>14</v>
      </c>
      <c r="C8" s="1" t="s">
        <v>16</v>
      </c>
      <c r="D8" s="1">
        <v>40</v>
      </c>
      <c r="E8" s="1">
        <v>59</v>
      </c>
      <c r="F8" s="1">
        <v>74</v>
      </c>
      <c r="G8" s="1">
        <v>80</v>
      </c>
      <c r="H8" s="1">
        <v>221.7</v>
      </c>
      <c r="I8" s="1">
        <v>74.099999999999994</v>
      </c>
      <c r="J8" s="1">
        <v>77.2</v>
      </c>
      <c r="K8" s="1">
        <v>70.400000000000006</v>
      </c>
      <c r="L8" s="1">
        <v>67.099999999999994</v>
      </c>
      <c r="M8" s="1">
        <v>27.3</v>
      </c>
      <c r="N8" s="1">
        <v>44</v>
      </c>
      <c r="O8" s="1">
        <v>76.8</v>
      </c>
      <c r="P8" s="1">
        <v>4.0199999999999996</v>
      </c>
      <c r="Q8" s="1">
        <v>2.06</v>
      </c>
      <c r="R8" s="1">
        <v>1.98</v>
      </c>
      <c r="S8" s="1">
        <v>4.74</v>
      </c>
      <c r="T8" s="1" t="s">
        <v>15</v>
      </c>
      <c r="U8" s="1">
        <v>8053</v>
      </c>
      <c r="V8" s="1">
        <v>8435</v>
      </c>
      <c r="W8" s="1">
        <f>Table1[[#This Row],[WHRS NET KW TOTAL]]-U7</f>
        <v>1418</v>
      </c>
      <c r="X8" s="6">
        <f>Table1[[#This Row],[WHRS  KW TOTAL]]-V7</f>
        <v>1492</v>
      </c>
      <c r="Y8" s="6">
        <f>IF(AND(Table1[[#This Row],[WHRS KW RECOVERED PER DAY]]&lt;&gt;0,Table1[[#This Row],[WHRS RH]]&lt;&gt;0),ROUND(Table1[[#This Row],[WHRS KW RECOVERED PER DAY]]/Table1[[#This Row],[WHRS RH]],1))</f>
        <v>93.3</v>
      </c>
      <c r="Z8" s="8">
        <v>16</v>
      </c>
      <c r="AA8" s="1">
        <v>92.9</v>
      </c>
      <c r="AB8" s="1">
        <v>11941</v>
      </c>
      <c r="AC8" s="1">
        <v>2299</v>
      </c>
      <c r="AD8" s="1">
        <v>21</v>
      </c>
      <c r="AE8" s="1">
        <v>25</v>
      </c>
      <c r="AF8" s="1">
        <f t="shared" si="1"/>
        <v>192.1</v>
      </c>
      <c r="AG8" s="1">
        <f t="shared" si="2"/>
        <v>1345</v>
      </c>
      <c r="AH8" s="1">
        <f t="shared" si="3"/>
        <v>366.37504100000001</v>
      </c>
      <c r="AI8" s="1">
        <f>IF(AH8="", "", SUM($AH$4:AH8))</f>
        <v>2080.6898485000002</v>
      </c>
      <c r="AJ8" s="9"/>
    </row>
    <row r="9" spans="1:36">
      <c r="A9" s="7">
        <v>46266.666666666664</v>
      </c>
      <c r="B9" s="1" t="s">
        <v>14</v>
      </c>
      <c r="C9" s="1" t="s">
        <v>16</v>
      </c>
      <c r="D9" s="1">
        <v>53</v>
      </c>
      <c r="E9" s="1">
        <v>65</v>
      </c>
      <c r="F9" s="1">
        <v>74</v>
      </c>
      <c r="G9" s="1">
        <v>80</v>
      </c>
      <c r="H9" s="1">
        <v>221</v>
      </c>
      <c r="I9" s="1">
        <v>73.3</v>
      </c>
      <c r="J9" s="1">
        <v>77.3</v>
      </c>
      <c r="K9" s="1">
        <v>69.7</v>
      </c>
      <c r="L9" s="1">
        <v>67.099999999999994</v>
      </c>
      <c r="M9" s="1">
        <v>27.5</v>
      </c>
      <c r="N9" s="1">
        <v>43.7</v>
      </c>
      <c r="O9" s="1">
        <v>73.099999999999994</v>
      </c>
      <c r="P9" s="1">
        <v>3.2</v>
      </c>
      <c r="Q9" s="1">
        <v>1.78</v>
      </c>
      <c r="R9" s="1">
        <v>1.77</v>
      </c>
      <c r="S9" s="1">
        <v>4.3600000000000003</v>
      </c>
      <c r="T9" s="1" t="s">
        <v>15</v>
      </c>
      <c r="U9" s="1">
        <v>9342</v>
      </c>
      <c r="V9" s="1">
        <v>9785</v>
      </c>
      <c r="W9" s="1">
        <f>Table1[[#This Row],[WHRS NET KW TOTAL]]-U8</f>
        <v>1289</v>
      </c>
      <c r="X9" s="6">
        <f>Table1[[#This Row],[WHRS  KW TOTAL]]-V8</f>
        <v>1350</v>
      </c>
      <c r="Y9" s="6">
        <f>IF(AND(Table1[[#This Row],[WHRS KW RECOVERED PER DAY]]&lt;&gt;0,Table1[[#This Row],[WHRS RH]]&lt;&gt;0),ROUND(Table1[[#This Row],[WHRS KW RECOVERED PER DAY]]/Table1[[#This Row],[WHRS RH]],1))</f>
        <v>122.7</v>
      </c>
      <c r="Z9" s="8">
        <v>11</v>
      </c>
      <c r="AA9" s="1">
        <v>100</v>
      </c>
      <c r="AB9" s="1">
        <v>11903</v>
      </c>
      <c r="AC9" s="1">
        <v>2093</v>
      </c>
      <c r="AD9" s="1">
        <v>21</v>
      </c>
      <c r="AE9" s="1">
        <v>25</v>
      </c>
      <c r="AF9" s="1">
        <f t="shared" si="1"/>
        <v>192.1</v>
      </c>
      <c r="AG9" s="1">
        <f t="shared" si="2"/>
        <v>1345</v>
      </c>
      <c r="AH9" s="1">
        <f t="shared" si="3"/>
        <v>333.04473050000001</v>
      </c>
      <c r="AI9" s="1">
        <f>IF(AH9="", "", SUM($AH$4:AH9))</f>
        <v>2413.7345789999999</v>
      </c>
      <c r="AJ9" s="9"/>
    </row>
    <row r="10" spans="1:36">
      <c r="A10" s="7">
        <v>46267.166666666664</v>
      </c>
      <c r="B10" s="1" t="s">
        <v>14</v>
      </c>
      <c r="C10" s="1" t="s">
        <v>16</v>
      </c>
      <c r="D10" s="1">
        <v>41</v>
      </c>
      <c r="E10" s="1">
        <v>47</v>
      </c>
      <c r="F10" s="1">
        <v>73</v>
      </c>
      <c r="G10" s="1">
        <v>80</v>
      </c>
      <c r="H10" s="1">
        <v>222.8</v>
      </c>
      <c r="I10" s="1">
        <v>73</v>
      </c>
      <c r="J10" s="1">
        <v>75.099999999999994</v>
      </c>
      <c r="K10" s="1">
        <v>70.099999999999994</v>
      </c>
      <c r="L10" s="1">
        <v>66.5</v>
      </c>
      <c r="M10" s="1">
        <v>27.2</v>
      </c>
      <c r="N10" s="1">
        <v>47.4</v>
      </c>
      <c r="O10" s="1">
        <v>76.400000000000006</v>
      </c>
      <c r="P10" s="1">
        <v>3.22</v>
      </c>
      <c r="Q10" s="1">
        <v>2.1</v>
      </c>
      <c r="R10" s="1">
        <v>2.11</v>
      </c>
      <c r="S10" s="1">
        <v>4.08</v>
      </c>
      <c r="T10" s="1" t="s">
        <v>15</v>
      </c>
      <c r="U10" s="1">
        <v>10578</v>
      </c>
      <c r="V10" s="1">
        <v>11081</v>
      </c>
      <c r="W10" s="1">
        <f>Table1[[#This Row],[WHRS NET KW TOTAL]]-U9</f>
        <v>1236</v>
      </c>
      <c r="X10" s="6">
        <f>Table1[[#This Row],[WHRS  KW TOTAL]]-V9</f>
        <v>1296</v>
      </c>
      <c r="Y10" s="6">
        <f>IF(AND(Table1[[#This Row],[WHRS KW RECOVERED PER DAY]]&lt;&gt;0,Table1[[#This Row],[WHRS RH]]&lt;&gt;0),ROUND(Table1[[#This Row],[WHRS KW RECOVERED PER DAY]]/Table1[[#This Row],[WHRS RH]],1))</f>
        <v>108</v>
      </c>
      <c r="Z10" s="8">
        <v>12</v>
      </c>
      <c r="AA10" s="1">
        <v>95</v>
      </c>
      <c r="AB10" s="1">
        <v>11945</v>
      </c>
      <c r="AC10" s="1">
        <v>1900</v>
      </c>
      <c r="AD10" s="1">
        <v>22</v>
      </c>
      <c r="AE10" s="1">
        <v>25</v>
      </c>
      <c r="AF10" s="1">
        <f t="shared" si="1"/>
        <v>192.1</v>
      </c>
      <c r="AG10" s="1">
        <f t="shared" si="2"/>
        <v>1345</v>
      </c>
      <c r="AH10" s="1">
        <f t="shared" si="3"/>
        <v>319.35088200000001</v>
      </c>
      <c r="AI10" s="1">
        <f>IF(AH10="", "", SUM($AH$4:AH10))</f>
        <v>2733.0854610000001</v>
      </c>
      <c r="AJ10" s="9"/>
    </row>
    <row r="11" spans="1:36">
      <c r="A11" s="7">
        <v>46267.666666666664</v>
      </c>
      <c r="B11" s="1" t="s">
        <v>14</v>
      </c>
      <c r="C11" s="1" t="s">
        <v>16</v>
      </c>
      <c r="D11" s="1">
        <v>55</v>
      </c>
      <c r="E11" s="1">
        <v>65</v>
      </c>
      <c r="F11" s="1">
        <v>74</v>
      </c>
      <c r="G11" s="1">
        <v>80</v>
      </c>
      <c r="H11" s="1">
        <v>224.7</v>
      </c>
      <c r="I11" s="1">
        <v>73</v>
      </c>
      <c r="J11" s="1">
        <v>78</v>
      </c>
      <c r="K11" s="1">
        <v>77</v>
      </c>
      <c r="L11" s="1">
        <v>71</v>
      </c>
      <c r="M11" s="1">
        <v>33</v>
      </c>
      <c r="N11" s="1">
        <v>42</v>
      </c>
      <c r="O11" s="1">
        <v>80</v>
      </c>
      <c r="P11" s="1">
        <v>3.4</v>
      </c>
      <c r="Q11" s="1">
        <v>2.1</v>
      </c>
      <c r="R11" s="1">
        <v>2</v>
      </c>
      <c r="S11" s="1">
        <v>4.5</v>
      </c>
      <c r="T11" s="1" t="s">
        <v>15</v>
      </c>
      <c r="U11" s="1">
        <v>11660</v>
      </c>
      <c r="V11" s="1">
        <v>12223</v>
      </c>
      <c r="W11" s="1">
        <f>IF(Table1[[#This Row],[WHRS NET KW TOTAL]]="","", Table1[[#This Row],[WHRS NET KW TOTAL]]-U10)</f>
        <v>1082</v>
      </c>
      <c r="X11" s="6">
        <f>Table1[[#This Row],[WHRS  KW TOTAL]]-V10</f>
        <v>1142</v>
      </c>
      <c r="Y11" s="6">
        <f>IF(AND(Table1[[#This Row],[WHRS KW RECOVERED PER DAY]]&lt;&gt;0,Table1[[#This Row],[WHRS RH]]&lt;&gt;0),ROUND(Table1[[#This Row],[WHRS KW RECOVERED PER DAY]]/Table1[[#This Row],[WHRS RH]],1))</f>
        <v>103.8</v>
      </c>
      <c r="Z11" s="8">
        <v>11</v>
      </c>
      <c r="AA11" s="1">
        <v>100</v>
      </c>
      <c r="AB11" s="1">
        <v>11930</v>
      </c>
      <c r="AC11" s="1">
        <v>1899.8</v>
      </c>
      <c r="AD11" s="1">
        <v>22</v>
      </c>
      <c r="AE11" s="1">
        <v>25</v>
      </c>
      <c r="AF11" s="1">
        <f t="shared" si="1"/>
        <v>192.1</v>
      </c>
      <c r="AG11" s="1">
        <f t="shared" si="2"/>
        <v>1345</v>
      </c>
      <c r="AH11" s="1">
        <f t="shared" si="3"/>
        <v>279.56120900000002</v>
      </c>
      <c r="AI11" s="1">
        <f>IF(AH11="", "", SUM($AH$4:AH11))</f>
        <v>3012.6466700000001</v>
      </c>
      <c r="AJ11" s="9"/>
    </row>
    <row r="12" spans="1:36">
      <c r="A12" s="7">
        <v>46268.166666666664</v>
      </c>
      <c r="B12" s="1" t="s">
        <v>14</v>
      </c>
      <c r="C12" s="1" t="s">
        <v>41</v>
      </c>
      <c r="D12" s="1">
        <v>57</v>
      </c>
      <c r="E12" s="1">
        <v>65</v>
      </c>
      <c r="F12" s="1">
        <v>75</v>
      </c>
      <c r="G12" s="1">
        <v>80</v>
      </c>
      <c r="H12" s="1">
        <v>222.8</v>
      </c>
      <c r="I12" s="1">
        <v>73</v>
      </c>
      <c r="J12" s="1">
        <v>77.5</v>
      </c>
      <c r="K12" s="1">
        <v>72</v>
      </c>
      <c r="L12" s="1">
        <v>68</v>
      </c>
      <c r="M12" s="1">
        <v>28.2</v>
      </c>
      <c r="N12" s="1">
        <v>48.4</v>
      </c>
      <c r="O12" s="1">
        <v>71.5</v>
      </c>
      <c r="P12" s="1">
        <v>3.5</v>
      </c>
      <c r="Q12" s="1">
        <v>2.1800000000000002</v>
      </c>
      <c r="R12" s="1">
        <v>2.19</v>
      </c>
      <c r="S12" s="1">
        <v>4.2</v>
      </c>
      <c r="T12" s="1" t="s">
        <v>15</v>
      </c>
      <c r="U12" s="1">
        <v>12671</v>
      </c>
      <c r="V12" s="1">
        <v>13288</v>
      </c>
      <c r="W12" s="1">
        <f>IF(Table1[[#This Row],[WHRS NET KW TOTAL]]="","", Table1[[#This Row],[WHRS NET KW TOTAL]]-U11)</f>
        <v>1011</v>
      </c>
      <c r="X12" s="6">
        <f>Table1[[#This Row],[WHRS  KW TOTAL]]-V11</f>
        <v>1065</v>
      </c>
      <c r="Y12" s="6">
        <f>IF(AND(Table1[[#This Row],[WHRS KW RECOVERED PER DAY]]&lt;&gt;0,Table1[[#This Row],[WHRS RH]]&lt;&gt;0),ROUND(Table1[[#This Row],[WHRS KW RECOVERED PER DAY]]/Table1[[#This Row],[WHRS RH]],1))</f>
        <v>88.8</v>
      </c>
      <c r="Z12" s="8">
        <v>12</v>
      </c>
      <c r="AA12" s="1">
        <v>100</v>
      </c>
      <c r="AB12" s="1">
        <v>11925</v>
      </c>
      <c r="AC12" s="1">
        <v>2188</v>
      </c>
      <c r="AD12" s="1">
        <v>22</v>
      </c>
      <c r="AE12" s="1">
        <v>25</v>
      </c>
      <c r="AF12" s="1">
        <f t="shared" si="1"/>
        <v>182.4</v>
      </c>
      <c r="AG12" s="1">
        <f t="shared" si="2"/>
        <v>820</v>
      </c>
      <c r="AH12" s="1">
        <f t="shared" si="3"/>
        <v>151.21324800000002</v>
      </c>
      <c r="AI12" s="1">
        <f>IF(AH12="", "", SUM($AH$4:AH12))</f>
        <v>3163.8599180000001</v>
      </c>
      <c r="AJ12" s="10"/>
    </row>
    <row r="13" spans="1:36">
      <c r="A13" s="7">
        <v>46268.666666666664</v>
      </c>
      <c r="B13" s="1" t="s">
        <v>14</v>
      </c>
      <c r="C13" s="1" t="s">
        <v>41</v>
      </c>
      <c r="D13" s="1">
        <v>57</v>
      </c>
      <c r="E13" s="1">
        <v>65</v>
      </c>
      <c r="F13" s="1">
        <v>75</v>
      </c>
      <c r="G13" s="1">
        <v>80</v>
      </c>
      <c r="H13" s="1">
        <v>223</v>
      </c>
      <c r="I13" s="1">
        <v>72.8</v>
      </c>
      <c r="J13" s="1">
        <v>77.3</v>
      </c>
      <c r="K13" s="1">
        <v>71</v>
      </c>
      <c r="L13" s="1">
        <v>68</v>
      </c>
      <c r="M13" s="1">
        <v>28.2</v>
      </c>
      <c r="N13" s="1">
        <v>48.2</v>
      </c>
      <c r="O13" s="1">
        <v>71.3</v>
      </c>
      <c r="P13" s="1">
        <v>3.54</v>
      </c>
      <c r="Q13" s="1">
        <v>2.16</v>
      </c>
      <c r="R13" s="1">
        <v>2.19</v>
      </c>
      <c r="S13" s="1">
        <v>4.1900000000000004</v>
      </c>
      <c r="T13" s="1" t="s">
        <v>15</v>
      </c>
      <c r="U13" s="1">
        <v>13698</v>
      </c>
      <c r="V13" s="1">
        <v>14374</v>
      </c>
      <c r="W13" s="1">
        <f>IF(Table1[[#This Row],[WHRS NET KW TOTAL]]="","", Table1[[#This Row],[WHRS NET KW TOTAL]]-U12)</f>
        <v>1027</v>
      </c>
      <c r="X13" s="6">
        <f>Table1[[#This Row],[WHRS  KW TOTAL]]-V12</f>
        <v>1086</v>
      </c>
      <c r="Y13" s="6">
        <f>IF(AND(Table1[[#This Row],[WHRS KW RECOVERED PER DAY]]&lt;&gt;0,Table1[[#This Row],[WHRS RH]]&lt;&gt;0),ROUND(Table1[[#This Row],[WHRS KW RECOVERED PER DAY]]/Table1[[#This Row],[WHRS RH]],1))</f>
        <v>90.5</v>
      </c>
      <c r="Z13" s="8">
        <v>12</v>
      </c>
      <c r="AA13" s="1">
        <v>100</v>
      </c>
      <c r="AB13" s="1">
        <v>11925</v>
      </c>
      <c r="AC13" s="1">
        <v>2298.89</v>
      </c>
      <c r="AD13" s="1">
        <v>22</v>
      </c>
      <c r="AE13" s="1">
        <v>25</v>
      </c>
      <c r="AF13" s="1">
        <f t="shared" si="1"/>
        <v>182.4</v>
      </c>
      <c r="AG13" s="1">
        <f t="shared" si="2"/>
        <v>820</v>
      </c>
      <c r="AH13" s="1">
        <f t="shared" si="3"/>
        <v>153.606336</v>
      </c>
      <c r="AI13" s="1">
        <f>IF(AH13="", "", SUM($AH$4:AH13))</f>
        <v>3317.4662539999999</v>
      </c>
      <c r="AJ13" s="9"/>
    </row>
    <row r="14" spans="1:36">
      <c r="A14" s="7">
        <v>46268.166666666664</v>
      </c>
      <c r="B14" s="1" t="s">
        <v>14</v>
      </c>
      <c r="C14" s="1" t="s">
        <v>16</v>
      </c>
      <c r="D14" s="1">
        <v>52</v>
      </c>
      <c r="E14" s="1">
        <v>63</v>
      </c>
      <c r="F14" s="1">
        <v>74</v>
      </c>
      <c r="G14" s="1">
        <v>80</v>
      </c>
      <c r="H14" s="1">
        <v>223</v>
      </c>
      <c r="I14" s="1">
        <v>73.599999999999994</v>
      </c>
      <c r="J14" s="1">
        <v>77.400000000000006</v>
      </c>
      <c r="K14" s="1">
        <v>71</v>
      </c>
      <c r="L14" s="1">
        <v>68</v>
      </c>
      <c r="M14" s="1">
        <v>28.2</v>
      </c>
      <c r="N14" s="1">
        <v>48.8</v>
      </c>
      <c r="O14" s="1">
        <v>71.8</v>
      </c>
      <c r="P14" s="1">
        <v>4.3899999999999997</v>
      </c>
      <c r="Q14" s="1">
        <v>2.57</v>
      </c>
      <c r="R14" s="1">
        <v>2.5</v>
      </c>
      <c r="S14" s="1">
        <v>4.92</v>
      </c>
      <c r="T14" s="1" t="s">
        <v>15</v>
      </c>
      <c r="U14" s="1">
        <v>14836</v>
      </c>
      <c r="V14" s="1">
        <v>15575</v>
      </c>
      <c r="W14" s="1">
        <f>IF(Table1[[#This Row],[WHRS NET KW TOTAL]]="","", Table1[[#This Row],[WHRS NET KW TOTAL]]-U13)</f>
        <v>1138</v>
      </c>
      <c r="X14" s="6">
        <f>Table1[[#This Row],[WHRS  KW TOTAL]]-V13</f>
        <v>1201</v>
      </c>
      <c r="Y14" s="6">
        <f>IF(AND(Table1[[#This Row],[WHRS KW RECOVERED PER DAY]]&lt;&gt;0,Table1[[#This Row],[WHRS RH]]&lt;&gt;0),ROUND(Table1[[#This Row],[WHRS KW RECOVERED PER DAY]]/Table1[[#This Row],[WHRS RH]],1))</f>
        <v>100.1</v>
      </c>
      <c r="Z14" s="8">
        <v>12</v>
      </c>
      <c r="AA14" s="1">
        <v>93.4</v>
      </c>
      <c r="AB14" s="1">
        <v>11944</v>
      </c>
      <c r="AC14" s="1">
        <v>2184</v>
      </c>
      <c r="AD14" s="1">
        <v>22</v>
      </c>
      <c r="AE14" s="1">
        <v>27</v>
      </c>
      <c r="AF14" s="1">
        <f t="shared" si="1"/>
        <v>192.1</v>
      </c>
      <c r="AG14" s="1">
        <f t="shared" si="2"/>
        <v>1345</v>
      </c>
      <c r="AH14" s="1">
        <f t="shared" si="3"/>
        <v>294.03018100000003</v>
      </c>
      <c r="AI14" s="1">
        <f>IF(AH14="", "", SUM($AH$4:AH14))</f>
        <v>3611.496435</v>
      </c>
      <c r="AJ14" s="9" t="s">
        <v>42</v>
      </c>
    </row>
    <row r="15" spans="1:36">
      <c r="A15" s="7">
        <v>46268.666666666664</v>
      </c>
      <c r="B15" s="1" t="s">
        <v>14</v>
      </c>
      <c r="C15" s="1" t="s">
        <v>16</v>
      </c>
      <c r="D15" s="1">
        <v>40</v>
      </c>
      <c r="E15" s="1">
        <v>57</v>
      </c>
      <c r="F15" s="1">
        <v>74</v>
      </c>
      <c r="G15" s="1">
        <v>80</v>
      </c>
      <c r="H15" s="1">
        <v>220.4</v>
      </c>
      <c r="I15" s="1">
        <v>74</v>
      </c>
      <c r="J15" s="1">
        <v>77.3</v>
      </c>
      <c r="K15" s="1">
        <v>70.7</v>
      </c>
      <c r="L15" s="1">
        <v>67.7</v>
      </c>
      <c r="M15" s="1">
        <v>31.2</v>
      </c>
      <c r="N15" s="1">
        <v>47.3</v>
      </c>
      <c r="O15" s="1">
        <v>71.900000000000006</v>
      </c>
      <c r="P15" s="1">
        <v>3.3</v>
      </c>
      <c r="Q15" s="1">
        <v>2.14</v>
      </c>
      <c r="R15" s="1">
        <v>2.17</v>
      </c>
      <c r="S15" s="1">
        <v>4.18</v>
      </c>
      <c r="T15" s="1" t="s">
        <v>15</v>
      </c>
      <c r="U15" s="1">
        <v>15490</v>
      </c>
      <c r="V15" s="1">
        <v>16227</v>
      </c>
      <c r="W15" s="1">
        <f>IF(Table1[[#This Row],[WHRS NET KW TOTAL]]="","", Table1[[#This Row],[WHRS NET KW TOTAL]]-U14)</f>
        <v>654</v>
      </c>
      <c r="X15" s="6">
        <f>Table1[[#This Row],[WHRS  KW TOTAL]]-V14</f>
        <v>652</v>
      </c>
      <c r="Y15" s="6">
        <f>IF(AND(Table1[[#This Row],[WHRS KW RECOVERED PER DAY]]&lt;&gt;0,Table1[[#This Row],[WHRS RH]]&lt;&gt;0),ROUND(Table1[[#This Row],[WHRS KW RECOVERED PER DAY]]/Table1[[#This Row],[WHRS RH]],1))</f>
        <v>54.3</v>
      </c>
      <c r="Z15" s="8">
        <v>12</v>
      </c>
      <c r="AA15" s="1">
        <v>91.5</v>
      </c>
      <c r="AB15" s="1">
        <v>11970</v>
      </c>
      <c r="AC15" s="1">
        <v>1900</v>
      </c>
      <c r="AD15" s="1">
        <v>18</v>
      </c>
      <c r="AE15" s="1">
        <v>27</v>
      </c>
      <c r="AF15" s="1">
        <f t="shared" si="1"/>
        <v>192.1</v>
      </c>
      <c r="AG15" s="1">
        <f t="shared" si="2"/>
        <v>1345</v>
      </c>
      <c r="AH15" s="1">
        <f t="shared" si="3"/>
        <v>168.976923</v>
      </c>
      <c r="AI15" s="1">
        <f>IF(AH15="", "", SUM($AH$4:AH15))</f>
        <v>3780.4733580000002</v>
      </c>
      <c r="AJ15" s="9" t="s">
        <v>43</v>
      </c>
    </row>
    <row r="16" spans="1:36">
      <c r="A16" s="7">
        <v>46269.166666666664</v>
      </c>
      <c r="B16" s="1" t="s">
        <v>14</v>
      </c>
      <c r="C16" s="1" t="s">
        <v>16</v>
      </c>
      <c r="D16" s="1">
        <v>57</v>
      </c>
      <c r="E16" s="1">
        <v>66</v>
      </c>
      <c r="F16" s="1">
        <v>73</v>
      </c>
      <c r="G16" s="1">
        <v>80</v>
      </c>
      <c r="H16" s="1">
        <v>221.4</v>
      </c>
      <c r="I16" s="1">
        <v>73.8</v>
      </c>
      <c r="J16" s="1">
        <v>77.3</v>
      </c>
      <c r="K16" s="1">
        <v>71.099999999999994</v>
      </c>
      <c r="L16" s="1">
        <v>67.7</v>
      </c>
      <c r="M16" s="1">
        <v>30.9</v>
      </c>
      <c r="N16" s="1">
        <v>46.3</v>
      </c>
      <c r="O16" s="1">
        <v>77.599999999999994</v>
      </c>
      <c r="P16" s="1">
        <v>4.12</v>
      </c>
      <c r="Q16" s="1">
        <v>2.34</v>
      </c>
      <c r="R16" s="1">
        <v>2.2400000000000002</v>
      </c>
      <c r="S16" s="1">
        <v>4.8600000000000003</v>
      </c>
      <c r="T16" s="1" t="s">
        <v>15</v>
      </c>
      <c r="U16" s="1">
        <v>16372</v>
      </c>
      <c r="V16" s="1">
        <v>17213</v>
      </c>
      <c r="W16" s="1">
        <f>IF(Table1[[#This Row],[WHRS NET KW TOTAL]]="","", Table1[[#This Row],[WHRS NET KW TOTAL]]-U15)</f>
        <v>882</v>
      </c>
      <c r="X16" s="6">
        <f>Table1[[#This Row],[WHRS  KW TOTAL]]-V15</f>
        <v>986</v>
      </c>
      <c r="Y16" s="6">
        <f>IF(AND(Table1[[#This Row],[WHRS KW RECOVERED PER DAY]]&lt;&gt;0,Table1[[#This Row],[WHRS RH]]&lt;&gt;0),ROUND(Table1[[#This Row],[WHRS KW RECOVERED PER DAY]]/Table1[[#This Row],[WHRS RH]],1))</f>
        <v>82.2</v>
      </c>
      <c r="Z16" s="8">
        <v>12</v>
      </c>
      <c r="AA16" s="1">
        <v>100</v>
      </c>
      <c r="AB16" s="1">
        <v>11947</v>
      </c>
      <c r="AC16" s="1">
        <v>2299</v>
      </c>
      <c r="AD16" s="1">
        <v>18</v>
      </c>
      <c r="AE16" s="1">
        <v>26</v>
      </c>
      <c r="AF16" s="1">
        <f t="shared" si="1"/>
        <v>192.1</v>
      </c>
      <c r="AG16" s="1">
        <f t="shared" si="2"/>
        <v>1345</v>
      </c>
      <c r="AH16" s="1">
        <f t="shared" si="3"/>
        <v>227.88630900000001</v>
      </c>
      <c r="AI16" s="1">
        <f>IF(AH16="", "", SUM($AH$4:AH16))</f>
        <v>4008.3596670000002</v>
      </c>
      <c r="AJ16" s="9"/>
    </row>
    <row r="17" spans="1:36">
      <c r="A17" s="7">
        <v>46269.666666666664</v>
      </c>
      <c r="B17" s="1" t="s">
        <v>14</v>
      </c>
      <c r="C17" s="1" t="s">
        <v>16</v>
      </c>
      <c r="D17" s="1">
        <v>59</v>
      </c>
      <c r="E17" s="1">
        <v>66</v>
      </c>
      <c r="F17" s="1">
        <v>74</v>
      </c>
      <c r="G17" s="1">
        <v>80</v>
      </c>
      <c r="H17" s="1">
        <v>221.2</v>
      </c>
      <c r="I17" s="1">
        <v>72.8</v>
      </c>
      <c r="J17" s="1">
        <v>77.5</v>
      </c>
      <c r="K17" s="1">
        <v>70.599999999999994</v>
      </c>
      <c r="L17" s="1">
        <v>67.3</v>
      </c>
      <c r="M17" s="1">
        <v>31.3</v>
      </c>
      <c r="N17" s="1">
        <v>45</v>
      </c>
      <c r="O17" s="1">
        <v>74.900000000000006</v>
      </c>
      <c r="P17" s="1">
        <v>4.0999999999999996</v>
      </c>
      <c r="Q17" s="1">
        <v>2.1800000000000002</v>
      </c>
      <c r="R17" s="1">
        <v>2.11</v>
      </c>
      <c r="S17" s="1">
        <v>4.8</v>
      </c>
      <c r="T17" s="1" t="s">
        <v>15</v>
      </c>
      <c r="U17" s="1">
        <v>17506</v>
      </c>
      <c r="V17" s="1">
        <v>18405</v>
      </c>
      <c r="W17" s="1">
        <f>IF(Table1[[#This Row],[WHRS NET KW TOTAL]]="","", Table1[[#This Row],[WHRS NET KW TOTAL]]-U16)</f>
        <v>1134</v>
      </c>
      <c r="X17" s="6">
        <f>Table1[[#This Row],[WHRS  KW TOTAL]]-V16</f>
        <v>1192</v>
      </c>
      <c r="Y17" s="6">
        <f>IF(AND(Table1[[#This Row],[WHRS KW RECOVERED PER DAY]]&lt;&gt;0,Table1[[#This Row],[WHRS RH]]&lt;&gt;0),ROUND(Table1[[#This Row],[WHRS KW RECOVERED PER DAY]]/Table1[[#This Row],[WHRS RH]],1))</f>
        <v>108.4</v>
      </c>
      <c r="Z17" s="8">
        <v>11</v>
      </c>
      <c r="AA17" s="1">
        <v>93.1</v>
      </c>
      <c r="AB17" s="1">
        <v>11948</v>
      </c>
      <c r="AC17" s="1">
        <v>2299</v>
      </c>
      <c r="AD17" s="1">
        <v>20</v>
      </c>
      <c r="AE17" s="1">
        <v>27</v>
      </c>
      <c r="AF17" s="1">
        <f t="shared" si="1"/>
        <v>192.1</v>
      </c>
      <c r="AG17" s="1">
        <f t="shared" si="2"/>
        <v>1345</v>
      </c>
      <c r="AH17" s="1">
        <f t="shared" si="3"/>
        <v>292.99668300000002</v>
      </c>
      <c r="AI17" s="1">
        <f>IF(AH17="", "", SUM($AH$4:AH17))</f>
        <v>4301.35635</v>
      </c>
      <c r="AJ17" s="9"/>
    </row>
    <row r="18" spans="1:36">
      <c r="A18" s="7">
        <v>46270.166666666664</v>
      </c>
      <c r="B18" s="1" t="s">
        <v>14</v>
      </c>
      <c r="C18" s="1" t="s">
        <v>16</v>
      </c>
      <c r="D18" s="1">
        <v>57</v>
      </c>
      <c r="E18" s="1">
        <v>66</v>
      </c>
      <c r="F18" s="1">
        <v>74</v>
      </c>
      <c r="G18" s="1">
        <v>80</v>
      </c>
      <c r="H18" s="1">
        <v>221.2</v>
      </c>
      <c r="I18" s="1">
        <v>72.900000000000006</v>
      </c>
      <c r="J18" s="1">
        <v>77.3</v>
      </c>
      <c r="K18" s="1">
        <v>70</v>
      </c>
      <c r="L18" s="1">
        <v>66.900000000000006</v>
      </c>
      <c r="M18" s="1">
        <v>31</v>
      </c>
      <c r="N18" s="1">
        <v>43.4</v>
      </c>
      <c r="O18" s="1">
        <v>74.2</v>
      </c>
      <c r="P18" s="1">
        <v>4.03</v>
      </c>
      <c r="Q18" s="1">
        <v>2.0499999999999998</v>
      </c>
      <c r="R18" s="1">
        <v>1.99</v>
      </c>
      <c r="S18" s="1">
        <v>4.74</v>
      </c>
      <c r="T18" s="1" t="s">
        <v>15</v>
      </c>
      <c r="U18" s="1">
        <v>18862</v>
      </c>
      <c r="V18" s="1">
        <v>19825</v>
      </c>
      <c r="W18" s="1">
        <f>IF(Table1[[#This Row],[WHRS NET KW TOTAL]]="","", Table1[[#This Row],[WHRS NET KW TOTAL]]-U17)</f>
        <v>1356</v>
      </c>
      <c r="X18" s="6">
        <f>Table1[[#This Row],[WHRS  KW TOTAL]]-V17</f>
        <v>1420</v>
      </c>
      <c r="Y18" s="6">
        <f>IF(AND(Table1[[#This Row],[WHRS KW RECOVERED PER DAY]]&lt;&gt;0,Table1[[#This Row],[WHRS RH]]&lt;&gt;0),ROUND(Table1[[#This Row],[WHRS KW RECOVERED PER DAY]]/Table1[[#This Row],[WHRS RH]],1))</f>
        <v>118.3</v>
      </c>
      <c r="Z18" s="8">
        <v>12</v>
      </c>
      <c r="AA18" s="1">
        <v>100</v>
      </c>
      <c r="AB18" s="1">
        <v>11938</v>
      </c>
      <c r="AC18" s="1">
        <v>2299</v>
      </c>
      <c r="AD18" s="1">
        <v>21</v>
      </c>
      <c r="AE18" s="1">
        <v>27</v>
      </c>
      <c r="AF18" s="1">
        <f t="shared" si="1"/>
        <v>192.1</v>
      </c>
      <c r="AG18" s="1">
        <f t="shared" si="2"/>
        <v>1345</v>
      </c>
      <c r="AH18" s="1">
        <f t="shared" si="3"/>
        <v>350.35582199999999</v>
      </c>
      <c r="AI18" s="1">
        <f>IF(AH18="", "", SUM($AH$4:AH18))</f>
        <v>4651.7121719999996</v>
      </c>
      <c r="AJ18" s="9"/>
    </row>
    <row r="19" spans="1:36">
      <c r="A19" s="7">
        <v>46270.666666666664</v>
      </c>
      <c r="B19" s="1" t="s">
        <v>14</v>
      </c>
      <c r="C19" s="1" t="s">
        <v>16</v>
      </c>
      <c r="D19" s="1">
        <v>56</v>
      </c>
      <c r="E19" s="1">
        <v>66</v>
      </c>
      <c r="F19" s="1">
        <v>73</v>
      </c>
      <c r="G19" s="1">
        <v>80</v>
      </c>
      <c r="H19" s="1">
        <v>221.2</v>
      </c>
      <c r="I19" s="1">
        <v>73.599999999999994</v>
      </c>
      <c r="J19" s="1">
        <v>77.400000000000006</v>
      </c>
      <c r="K19" s="1">
        <v>70.7</v>
      </c>
      <c r="L19" s="1">
        <v>67.3</v>
      </c>
      <c r="M19" s="1">
        <v>30.5</v>
      </c>
      <c r="N19" s="1">
        <v>44.1</v>
      </c>
      <c r="O19" s="1">
        <v>77.599999999999994</v>
      </c>
      <c r="P19" s="1">
        <v>3.98</v>
      </c>
      <c r="Q19" s="1">
        <v>2.1</v>
      </c>
      <c r="R19" s="1">
        <v>2.04</v>
      </c>
      <c r="S19" s="1">
        <v>4.7300000000000004</v>
      </c>
      <c r="T19" s="1" t="s">
        <v>15</v>
      </c>
      <c r="U19" s="1">
        <v>20203</v>
      </c>
      <c r="V19" s="1">
        <v>21236</v>
      </c>
      <c r="W19" s="1">
        <f>IF(Table1[[#This Row],[WHRS NET KW TOTAL]]="","", Table1[[#This Row],[WHRS NET KW TOTAL]]-U18)</f>
        <v>1341</v>
      </c>
      <c r="X19" s="6">
        <f>Table1[[#This Row],[WHRS  KW TOTAL]]-V18</f>
        <v>1411</v>
      </c>
      <c r="Y19" s="6">
        <f>IF(AND(Table1[[#This Row],[WHRS KW RECOVERED PER DAY]]&lt;&gt;0,Table1[[#This Row],[WHRS RH]]&lt;&gt;0),ROUND(Table1[[#This Row],[WHRS KW RECOVERED PER DAY]]/Table1[[#This Row],[WHRS RH]],1))</f>
        <v>128.30000000000001</v>
      </c>
      <c r="Z19" s="8">
        <v>11</v>
      </c>
      <c r="AA19" s="1">
        <v>100</v>
      </c>
      <c r="AB19" s="1">
        <v>11943</v>
      </c>
      <c r="AC19" s="1">
        <v>2300</v>
      </c>
      <c r="AD19" s="1">
        <v>21</v>
      </c>
      <c r="AE19" s="1">
        <v>28</v>
      </c>
      <c r="AF19" s="1">
        <f t="shared" si="1"/>
        <v>192.1</v>
      </c>
      <c r="AG19" s="1">
        <f t="shared" si="2"/>
        <v>1345</v>
      </c>
      <c r="AH19" s="1">
        <f t="shared" si="3"/>
        <v>346.48020450000001</v>
      </c>
      <c r="AI19" s="1">
        <f>IF(AH19="", "", SUM($AH$4:AH19))</f>
        <v>4998.1923764999992</v>
      </c>
      <c r="AJ19" s="9"/>
    </row>
    <row r="20" spans="1:36">
      <c r="A20" s="7">
        <v>46271.166666666664</v>
      </c>
      <c r="B20" s="1" t="s">
        <v>14</v>
      </c>
      <c r="C20" s="1" t="s">
        <v>16</v>
      </c>
      <c r="D20" s="1">
        <v>56</v>
      </c>
      <c r="E20" s="1">
        <v>66</v>
      </c>
      <c r="F20" s="1">
        <v>73</v>
      </c>
      <c r="G20" s="1">
        <v>80</v>
      </c>
      <c r="H20" s="1">
        <v>221.9</v>
      </c>
      <c r="I20" s="1">
        <v>73.099999999999994</v>
      </c>
      <c r="J20" s="1">
        <v>77.5</v>
      </c>
      <c r="K20" s="1">
        <v>70.2</v>
      </c>
      <c r="L20" s="1">
        <v>67.3</v>
      </c>
      <c r="M20" s="1">
        <v>30.4</v>
      </c>
      <c r="N20" s="1">
        <v>44.6</v>
      </c>
      <c r="O20" s="1">
        <v>70.5</v>
      </c>
      <c r="P20" s="1">
        <v>3.56</v>
      </c>
      <c r="Q20" s="1">
        <v>2.08</v>
      </c>
      <c r="R20" s="1">
        <v>2.06</v>
      </c>
      <c r="S20" s="1">
        <v>4.12</v>
      </c>
      <c r="T20" s="1" t="s">
        <v>15</v>
      </c>
      <c r="U20" s="1">
        <v>21548</v>
      </c>
      <c r="V20" s="1">
        <v>22640</v>
      </c>
      <c r="W20" s="1">
        <f>IF(Table1[[#This Row],[WHRS NET KW TOTAL]]="","", Table1[[#This Row],[WHRS NET KW TOTAL]]-U19)</f>
        <v>1345</v>
      </c>
      <c r="X20" s="6">
        <f>Table1[[#This Row],[WHRS  KW TOTAL]]-V19</f>
        <v>1404</v>
      </c>
      <c r="Y20" s="6">
        <f>IF(AND(Table1[[#This Row],[WHRS KW RECOVERED PER DAY]]&lt;&gt;0,Table1[[#This Row],[WHRS RH]]&lt;&gt;0),ROUND(Table1[[#This Row],[WHRS KW RECOVERED PER DAY]]/Table1[[#This Row],[WHRS RH]],1))</f>
        <v>127.6</v>
      </c>
      <c r="Z20" s="8">
        <v>11</v>
      </c>
      <c r="AA20" s="1">
        <v>100</v>
      </c>
      <c r="AB20" s="1">
        <v>11939</v>
      </c>
      <c r="AC20" s="1">
        <v>2195</v>
      </c>
      <c r="AD20" s="1">
        <v>22</v>
      </c>
      <c r="AE20" s="1">
        <v>28</v>
      </c>
      <c r="AF20" s="1">
        <f t="shared" si="1"/>
        <v>192.1</v>
      </c>
      <c r="AG20" s="1">
        <f t="shared" si="2"/>
        <v>1345</v>
      </c>
      <c r="AH20" s="1">
        <f t="shared" si="3"/>
        <v>347.51370250000002</v>
      </c>
      <c r="AI20" s="1">
        <f>IF(AH20="", "", SUM($AH$4:AH20))</f>
        <v>5345.7060789999996</v>
      </c>
      <c r="AJ20" s="9"/>
    </row>
    <row r="21" spans="1:36">
      <c r="A21" s="7">
        <v>46271.666666666664</v>
      </c>
      <c r="B21" s="1" t="s">
        <v>14</v>
      </c>
      <c r="C21" s="1" t="s">
        <v>16</v>
      </c>
      <c r="D21" s="1">
        <v>56</v>
      </c>
      <c r="E21" s="1">
        <v>66</v>
      </c>
      <c r="F21" s="1">
        <v>73</v>
      </c>
      <c r="G21" s="1">
        <v>80</v>
      </c>
      <c r="H21" s="1">
        <v>220.8</v>
      </c>
      <c r="I21" s="1">
        <v>72.900000000000006</v>
      </c>
      <c r="J21" s="1">
        <v>77.400000000000006</v>
      </c>
      <c r="K21" s="1">
        <v>70.900000000000006</v>
      </c>
      <c r="L21" s="1">
        <v>67.599999999999994</v>
      </c>
      <c r="M21" s="1">
        <v>30.6</v>
      </c>
      <c r="N21" s="1">
        <v>44.3</v>
      </c>
      <c r="O21" s="1">
        <v>76.7</v>
      </c>
      <c r="P21" s="1">
        <v>3.73</v>
      </c>
      <c r="Q21" s="1">
        <v>2.04</v>
      </c>
      <c r="R21" s="1">
        <v>1.96</v>
      </c>
      <c r="S21" s="1">
        <v>4.63</v>
      </c>
      <c r="T21" s="1" t="s">
        <v>15</v>
      </c>
      <c r="U21" s="1">
        <v>22879</v>
      </c>
      <c r="V21" s="1">
        <v>24034</v>
      </c>
      <c r="W21" s="1">
        <f>IF(Table1[[#This Row],[WHRS NET KW TOTAL]]="","", Table1[[#This Row],[WHRS NET KW TOTAL]]-U20)</f>
        <v>1331</v>
      </c>
      <c r="X21" s="6">
        <f>Table1[[#This Row],[WHRS  KW TOTAL]]-V20</f>
        <v>1394</v>
      </c>
      <c r="Y21" s="6">
        <f>IF(AND(Table1[[#This Row],[WHRS KW RECOVERED PER DAY]]&lt;&gt;0,Table1[[#This Row],[WHRS RH]]&lt;&gt;0),ROUND(Table1[[#This Row],[WHRS KW RECOVERED PER DAY]]/Table1[[#This Row],[WHRS RH]],1))</f>
        <v>116.2</v>
      </c>
      <c r="Z21" s="8">
        <v>12</v>
      </c>
      <c r="AA21" s="1">
        <v>100</v>
      </c>
      <c r="AB21" s="1">
        <v>12025</v>
      </c>
      <c r="AC21" s="1">
        <v>2297</v>
      </c>
      <c r="AD21" s="1">
        <v>21</v>
      </c>
      <c r="AE21" s="1">
        <v>28</v>
      </c>
      <c r="AF21" s="1">
        <f t="shared" si="1"/>
        <v>192.1</v>
      </c>
      <c r="AG21" s="1">
        <f t="shared" si="2"/>
        <v>1345</v>
      </c>
      <c r="AH21" s="1">
        <f t="shared" si="3"/>
        <v>343.89645949999999</v>
      </c>
      <c r="AI21" s="1">
        <f>IF(AH21="", "", SUM($AH$4:AH21))</f>
        <v>5689.6025384999994</v>
      </c>
      <c r="AJ21" s="9"/>
    </row>
    <row r="22" spans="1:36">
      <c r="A22" s="7">
        <v>46272.166666666664</v>
      </c>
      <c r="B22" s="1" t="s">
        <v>14</v>
      </c>
      <c r="C22" s="1" t="s">
        <v>16</v>
      </c>
      <c r="D22" s="1">
        <v>56</v>
      </c>
      <c r="E22" s="1">
        <v>66</v>
      </c>
      <c r="F22" s="1">
        <v>73</v>
      </c>
      <c r="G22" s="1">
        <v>80</v>
      </c>
      <c r="H22" s="1">
        <v>221.4</v>
      </c>
      <c r="I22" s="1">
        <v>72.900000000000006</v>
      </c>
      <c r="J22" s="1">
        <v>77.5</v>
      </c>
      <c r="K22" s="1">
        <v>70</v>
      </c>
      <c r="L22" s="1">
        <v>67.099999999999994</v>
      </c>
      <c r="M22" s="1">
        <v>30.3</v>
      </c>
      <c r="N22" s="1">
        <v>44.2</v>
      </c>
      <c r="O22" s="1">
        <v>71.400000000000006</v>
      </c>
      <c r="P22" s="1">
        <v>4.16</v>
      </c>
      <c r="Q22" s="1">
        <v>2.17</v>
      </c>
      <c r="R22" s="1">
        <v>2.2599999999999998</v>
      </c>
      <c r="S22" s="1">
        <v>4.42</v>
      </c>
      <c r="T22" s="1" t="s">
        <v>15</v>
      </c>
      <c r="U22" s="1">
        <v>24309</v>
      </c>
      <c r="V22" s="1">
        <v>25531</v>
      </c>
      <c r="W22" s="1">
        <f>IF(Table1[[#This Row],[WHRS NET KW TOTAL]]="","", Table1[[#This Row],[WHRS NET KW TOTAL]]-U21)</f>
        <v>1430</v>
      </c>
      <c r="X22" s="6">
        <f>Table1[[#This Row],[WHRS  KW TOTAL]]-V21</f>
        <v>1497</v>
      </c>
      <c r="Y22" s="6">
        <f>IF(AND(Table1[[#This Row],[WHRS KW RECOVERED PER DAY]]&lt;&gt;0,Table1[[#This Row],[WHRS RH]]&lt;&gt;0),ROUND(Table1[[#This Row],[WHRS KW RECOVERED PER DAY]]/Table1[[#This Row],[WHRS RH]],1))</f>
        <v>124.8</v>
      </c>
      <c r="Z22" s="8">
        <v>12</v>
      </c>
      <c r="AA22" s="1">
        <v>93.3</v>
      </c>
      <c r="AB22" s="1">
        <v>11943</v>
      </c>
      <c r="AC22" s="1">
        <v>2299</v>
      </c>
      <c r="AD22" s="1">
        <v>22</v>
      </c>
      <c r="AE22" s="1">
        <v>27</v>
      </c>
      <c r="AF22" s="1">
        <f t="shared" si="1"/>
        <v>192.1</v>
      </c>
      <c r="AG22" s="1">
        <f t="shared" si="2"/>
        <v>1345</v>
      </c>
      <c r="AH22" s="1">
        <f t="shared" si="3"/>
        <v>369.47553500000004</v>
      </c>
      <c r="AI22" s="1">
        <f>IF(AH22="", "", SUM($AH$4:AH22))</f>
        <v>6059.0780734999989</v>
      </c>
      <c r="AJ22" s="9"/>
    </row>
    <row r="23" spans="1:36">
      <c r="A23" s="7">
        <v>46272.666666666664</v>
      </c>
      <c r="B23" s="1" t="s">
        <v>14</v>
      </c>
      <c r="C23" s="1" t="s">
        <v>16</v>
      </c>
      <c r="D23" s="1">
        <v>57</v>
      </c>
      <c r="E23" s="1">
        <v>66</v>
      </c>
      <c r="F23" s="1">
        <v>72</v>
      </c>
      <c r="G23" s="1">
        <v>80</v>
      </c>
      <c r="H23" s="1">
        <v>221.2</v>
      </c>
      <c r="I23" s="1">
        <v>73.3</v>
      </c>
      <c r="J23" s="1">
        <v>77.400000000000006</v>
      </c>
      <c r="K23" s="1">
        <v>70.8</v>
      </c>
      <c r="L23" s="1">
        <v>67.400000000000006</v>
      </c>
      <c r="M23" s="1">
        <v>30.5</v>
      </c>
      <c r="N23" s="1">
        <v>44</v>
      </c>
      <c r="O23" s="1">
        <v>77.5</v>
      </c>
      <c r="P23" s="1">
        <v>3.89</v>
      </c>
      <c r="Q23" s="1">
        <v>2.0699999999999998</v>
      </c>
      <c r="R23" s="1">
        <v>1.99</v>
      </c>
      <c r="S23" s="1">
        <v>4.66</v>
      </c>
      <c r="T23" s="1" t="s">
        <v>15</v>
      </c>
      <c r="U23" s="1">
        <v>25649</v>
      </c>
      <c r="V23" s="1">
        <v>26938</v>
      </c>
      <c r="W23" s="1">
        <f>IF(Table1[[#This Row],[WHRS NET KW TOTAL]]="","", Table1[[#This Row],[WHRS NET KW TOTAL]]-U22)</f>
        <v>1340</v>
      </c>
      <c r="X23" s="6">
        <f>Table1[[#This Row],[WHRS  KW TOTAL]]-V22</f>
        <v>1407</v>
      </c>
      <c r="Y23" s="6">
        <f>IF(AND(Table1[[#This Row],[WHRS KW RECOVERED PER DAY]]&lt;&gt;0,Table1[[#This Row],[WHRS RH]]&lt;&gt;0),ROUND(Table1[[#This Row],[WHRS KW RECOVERED PER DAY]]/Table1[[#This Row],[WHRS RH]],1))</f>
        <v>127.9</v>
      </c>
      <c r="Z23" s="8">
        <v>11</v>
      </c>
      <c r="AA23" s="1">
        <v>100.3</v>
      </c>
      <c r="AB23" s="1">
        <v>11957</v>
      </c>
      <c r="AC23" s="1">
        <v>2299</v>
      </c>
      <c r="AD23" s="1">
        <v>22</v>
      </c>
      <c r="AE23" s="1">
        <v>27</v>
      </c>
      <c r="AF23" s="1">
        <f t="shared" si="1"/>
        <v>192.1</v>
      </c>
      <c r="AG23" s="1">
        <f t="shared" si="2"/>
        <v>1345</v>
      </c>
      <c r="AH23" s="1">
        <f t="shared" si="3"/>
        <v>346.22183000000007</v>
      </c>
      <c r="AI23" s="1">
        <f>IF(AH23="", "", SUM($AH$4:AH23))</f>
        <v>6405.2999034999993</v>
      </c>
      <c r="AJ23" s="9"/>
    </row>
    <row r="24" spans="1:36">
      <c r="A24" s="7">
        <v>46273.166666666664</v>
      </c>
      <c r="B24" s="1" t="s">
        <v>14</v>
      </c>
      <c r="C24" s="1" t="s">
        <v>16</v>
      </c>
      <c r="D24" s="1">
        <v>57</v>
      </c>
      <c r="E24" s="1">
        <v>67</v>
      </c>
      <c r="F24" s="1">
        <v>73</v>
      </c>
      <c r="G24" s="1">
        <v>80</v>
      </c>
      <c r="H24" s="1">
        <v>221.3</v>
      </c>
      <c r="I24" s="1">
        <v>73.3</v>
      </c>
      <c r="J24" s="1">
        <v>77.3</v>
      </c>
      <c r="K24" s="1">
        <v>70.599999999999994</v>
      </c>
      <c r="L24" s="1">
        <v>67.3</v>
      </c>
      <c r="M24" s="1">
        <v>30.4</v>
      </c>
      <c r="N24" s="1">
        <v>44.9</v>
      </c>
      <c r="O24" s="1">
        <v>77.2</v>
      </c>
      <c r="P24" s="1">
        <v>4.03</v>
      </c>
      <c r="Q24" s="1">
        <v>2.17</v>
      </c>
      <c r="R24" s="1">
        <v>2.09</v>
      </c>
      <c r="S24" s="1">
        <v>4.74</v>
      </c>
      <c r="T24" s="1" t="s">
        <v>15</v>
      </c>
      <c r="U24" s="1">
        <v>27017</v>
      </c>
      <c r="V24" s="1">
        <v>28367</v>
      </c>
      <c r="W24" s="1">
        <f>IF(Table1[[#This Row],[WHRS NET KW TOTAL]]="","", Table1[[#This Row],[WHRS NET KW TOTAL]]-U23)</f>
        <v>1368</v>
      </c>
      <c r="X24" s="6">
        <f>Table1[[#This Row],[WHRS  KW TOTAL]]-V23</f>
        <v>1429</v>
      </c>
      <c r="Y24" s="6">
        <f>IF(AND(Table1[[#This Row],[WHRS KW RECOVERED PER DAY]]&lt;&gt;0,Table1[[#This Row],[WHRS RH]]&lt;&gt;0),ROUND(Table1[[#This Row],[WHRS KW RECOVERED PER DAY]]/Table1[[#This Row],[WHRS RH]],1))</f>
        <v>129.9</v>
      </c>
      <c r="Z24" s="8">
        <v>11</v>
      </c>
      <c r="AA24" s="1">
        <v>100</v>
      </c>
      <c r="AB24" s="1">
        <v>11943</v>
      </c>
      <c r="AC24" s="1">
        <v>2299</v>
      </c>
      <c r="AD24" s="1">
        <v>21</v>
      </c>
      <c r="AE24" s="1">
        <v>27</v>
      </c>
      <c r="AF24" s="1">
        <f t="shared" si="1"/>
        <v>192.1</v>
      </c>
      <c r="AG24" s="1">
        <f t="shared" si="2"/>
        <v>1345</v>
      </c>
      <c r="AH24" s="1">
        <f t="shared" si="3"/>
        <v>353.45631600000002</v>
      </c>
      <c r="AI24" s="1">
        <f>IF(AH24="", "", SUM($AH$4:AH24))</f>
        <v>6758.7562194999991</v>
      </c>
      <c r="AJ24" s="9"/>
    </row>
    <row r="25" spans="1:36">
      <c r="A25" s="7">
        <v>46274.166666666664</v>
      </c>
      <c r="B25" s="1" t="s">
        <v>14</v>
      </c>
      <c r="C25" s="1" t="s">
        <v>16</v>
      </c>
      <c r="D25" s="1">
        <v>58</v>
      </c>
      <c r="E25" s="1">
        <v>67</v>
      </c>
      <c r="F25" s="1">
        <v>73</v>
      </c>
      <c r="G25" s="1">
        <v>80</v>
      </c>
      <c r="H25" s="1">
        <v>220.8</v>
      </c>
      <c r="I25" s="1">
        <v>73.5</v>
      </c>
      <c r="J25" s="1">
        <v>77.7</v>
      </c>
      <c r="K25" s="1">
        <v>70.2</v>
      </c>
      <c r="L25" s="1">
        <v>67</v>
      </c>
      <c r="M25" s="1">
        <v>30.6</v>
      </c>
      <c r="N25" s="1">
        <v>42.7</v>
      </c>
      <c r="O25" s="1">
        <v>77.8</v>
      </c>
      <c r="P25" s="1">
        <v>3.93</v>
      </c>
      <c r="Q25" s="1">
        <v>1.98</v>
      </c>
      <c r="R25" s="1">
        <v>1.91</v>
      </c>
      <c r="S25" s="1">
        <v>4.6500000000000004</v>
      </c>
      <c r="T25" s="1" t="s">
        <v>15</v>
      </c>
      <c r="U25" s="1">
        <v>29720</v>
      </c>
      <c r="V25" s="1">
        <v>31197</v>
      </c>
      <c r="W25" s="1">
        <f>IF(Table1[[#This Row],[WHRS NET KW TOTAL]]="","", Table1[[#This Row],[WHRS NET KW TOTAL]]-U24)</f>
        <v>2703</v>
      </c>
      <c r="X25" s="6">
        <f>Table1[[#This Row],[WHRS  KW TOTAL]]-V24</f>
        <v>2830</v>
      </c>
      <c r="Y25" s="6">
        <f>IF(AND(Table1[[#This Row],[WHRS KW RECOVERED PER DAY]]&lt;&gt;0,Table1[[#This Row],[WHRS RH]]&lt;&gt;0),ROUND(Table1[[#This Row],[WHRS KW RECOVERED PER DAY]]/Table1[[#This Row],[WHRS RH]],1))</f>
        <v>123</v>
      </c>
      <c r="Z25" s="8">
        <v>23</v>
      </c>
      <c r="AA25" s="1">
        <v>100</v>
      </c>
      <c r="AB25" s="1">
        <v>11951</v>
      </c>
      <c r="AC25" s="1">
        <v>2299</v>
      </c>
      <c r="AD25" s="1">
        <v>22</v>
      </c>
      <c r="AE25" s="1">
        <v>28</v>
      </c>
      <c r="AF25" s="1">
        <f t="shared" si="1"/>
        <v>192.1</v>
      </c>
      <c r="AG25" s="1">
        <f t="shared" si="2"/>
        <v>1345</v>
      </c>
      <c r="AH25" s="1">
        <f t="shared" si="3"/>
        <v>698.38627350000002</v>
      </c>
      <c r="AI25" s="1">
        <f>IF(AH25="", "", SUM($AH$4:AH25))</f>
        <v>7457.1424929999994</v>
      </c>
      <c r="AJ25" s="9"/>
    </row>
    <row r="26" spans="1:36">
      <c r="A26" s="7">
        <f>A25+1</f>
        <v>46275.166666666664</v>
      </c>
      <c r="B26" s="1" t="s">
        <v>14</v>
      </c>
      <c r="C26" s="1" t="s">
        <v>16</v>
      </c>
      <c r="D26" s="1">
        <v>56</v>
      </c>
      <c r="E26" s="1">
        <v>67</v>
      </c>
      <c r="F26" s="1">
        <v>73</v>
      </c>
      <c r="G26" s="1">
        <v>80</v>
      </c>
      <c r="H26" s="1">
        <v>220.2</v>
      </c>
      <c r="I26" s="1">
        <v>72.599999999999994</v>
      </c>
      <c r="J26" s="1">
        <v>78</v>
      </c>
      <c r="K26" s="1">
        <v>70.099999999999994</v>
      </c>
      <c r="L26" s="1">
        <v>67.3</v>
      </c>
      <c r="M26" s="1">
        <v>36.299999999999997</v>
      </c>
      <c r="N26" s="1">
        <v>41.1</v>
      </c>
      <c r="O26" s="1">
        <v>72.099999999999994</v>
      </c>
      <c r="P26" s="1">
        <v>3.51</v>
      </c>
      <c r="Q26" s="1">
        <v>1.96</v>
      </c>
      <c r="R26" s="1">
        <v>1.92</v>
      </c>
      <c r="S26" s="1">
        <v>4.32</v>
      </c>
      <c r="T26" s="1" t="s">
        <v>15</v>
      </c>
      <c r="U26" s="1">
        <v>33265</v>
      </c>
      <c r="V26" s="1">
        <v>34487</v>
      </c>
      <c r="W26" s="1">
        <f>IF(Table1[[#This Row],[WHRS NET KW TOTAL]]="","", Table1[[#This Row],[WHRS NET KW TOTAL]]-U25)</f>
        <v>3545</v>
      </c>
      <c r="X26" s="6">
        <f>Table1[[#This Row],[WHRS  KW TOTAL]]-V25</f>
        <v>3290</v>
      </c>
      <c r="Y26" s="6">
        <f>IF(AND(Table1[[#This Row],[WHRS KW RECOVERED PER DAY]]&lt;&gt;0,Table1[[#This Row],[WHRS RH]]&lt;&gt;0),ROUND(Table1[[#This Row],[WHRS KW RECOVERED PER DAY]]/Table1[[#This Row],[WHRS RH]],1))</f>
        <v>137.1</v>
      </c>
      <c r="Z26" s="8">
        <v>24</v>
      </c>
      <c r="AA26" s="1">
        <v>100</v>
      </c>
      <c r="AB26" s="1">
        <v>11942</v>
      </c>
      <c r="AC26" s="1">
        <v>1983</v>
      </c>
      <c r="AD26" s="1">
        <v>31</v>
      </c>
      <c r="AE26" s="1">
        <v>34</v>
      </c>
      <c r="AF26" s="1">
        <f t="shared" si="1"/>
        <v>192.1</v>
      </c>
      <c r="AG26" s="1">
        <f t="shared" si="2"/>
        <v>1345</v>
      </c>
      <c r="AH26" s="1">
        <f t="shared" si="3"/>
        <v>915.93760250000003</v>
      </c>
      <c r="AI26" s="1">
        <f>IF(AH26="", "", SUM($AH$4:AH26))</f>
        <v>8373.0800954999995</v>
      </c>
      <c r="AJ26" s="9"/>
    </row>
    <row r="27" spans="1:36">
      <c r="A27" s="7">
        <f t="shared" ref="A27" si="4">A26+1</f>
        <v>46276.166666666664</v>
      </c>
      <c r="B27" s="1" t="s">
        <v>14</v>
      </c>
      <c r="C27" s="1" t="s">
        <v>16</v>
      </c>
      <c r="D27" s="1">
        <v>58</v>
      </c>
      <c r="E27" s="1">
        <v>67</v>
      </c>
      <c r="F27" s="1">
        <v>72</v>
      </c>
      <c r="G27" s="1">
        <v>80</v>
      </c>
      <c r="H27" s="1">
        <v>220.4</v>
      </c>
      <c r="I27" s="1">
        <v>72.3</v>
      </c>
      <c r="J27" s="1">
        <v>77.900000000000006</v>
      </c>
      <c r="K27" s="1">
        <v>71</v>
      </c>
      <c r="L27" s="1">
        <v>68</v>
      </c>
      <c r="M27" s="1">
        <v>38.5</v>
      </c>
      <c r="N27" s="1">
        <v>43.2</v>
      </c>
      <c r="O27" s="1">
        <v>69.8</v>
      </c>
      <c r="P27" s="1">
        <v>3.33</v>
      </c>
      <c r="Q27" s="1">
        <v>2.13</v>
      </c>
      <c r="R27" s="1">
        <v>2.17</v>
      </c>
      <c r="S27" s="1">
        <v>4.17</v>
      </c>
      <c r="T27" s="1" t="s">
        <v>15</v>
      </c>
      <c r="U27" s="1">
        <v>35982</v>
      </c>
      <c r="V27" s="1">
        <v>37731</v>
      </c>
      <c r="W27" s="1">
        <f>IF(Table1[[#This Row],[WHRS NET KW TOTAL]]="","", Table1[[#This Row],[WHRS NET KW TOTAL]]-U26)</f>
        <v>2717</v>
      </c>
      <c r="X27" s="6">
        <f>Table1[[#This Row],[WHRS  KW TOTAL]]-V26</f>
        <v>3244</v>
      </c>
      <c r="Y27" s="6">
        <f>IF(AND(Table1[[#This Row],[WHRS KW RECOVERED PER DAY]]&lt;&gt;0,Table1[[#This Row],[WHRS RH]]&lt;&gt;0),ROUND(Table1[[#This Row],[WHRS KW RECOVERED PER DAY]]/Table1[[#This Row],[WHRS RH]],1))</f>
        <v>141</v>
      </c>
      <c r="Z27" s="8">
        <v>23</v>
      </c>
      <c r="AA27" s="1">
        <v>99.8</v>
      </c>
      <c r="AB27" s="1">
        <v>11733</v>
      </c>
      <c r="AC27" s="1">
        <v>1900</v>
      </c>
      <c r="AD27" s="1">
        <v>32</v>
      </c>
      <c r="AE27" s="1">
        <v>37</v>
      </c>
      <c r="AF27" s="1">
        <f t="shared" si="1"/>
        <v>192.1</v>
      </c>
      <c r="AG27" s="1">
        <f t="shared" si="2"/>
        <v>1345</v>
      </c>
      <c r="AH27" s="1">
        <f t="shared" si="3"/>
        <v>702.00351650000005</v>
      </c>
      <c r="AI27" s="1">
        <f>IF(AH27="", "", SUM($AH$4:AH27))</f>
        <v>9075.0836120000004</v>
      </c>
      <c r="AJ27" s="9"/>
    </row>
    <row r="28" spans="1:36">
      <c r="A28" s="7">
        <v>46276.875</v>
      </c>
      <c r="B28" s="1" t="s">
        <v>14</v>
      </c>
      <c r="C28" s="1" t="s">
        <v>41</v>
      </c>
      <c r="D28" s="1">
        <v>58</v>
      </c>
      <c r="E28" s="1">
        <v>67</v>
      </c>
      <c r="F28" s="1">
        <v>72</v>
      </c>
      <c r="G28" s="1">
        <v>80</v>
      </c>
      <c r="H28" s="1">
        <v>220.2</v>
      </c>
      <c r="I28" s="1">
        <v>72.400000000000006</v>
      </c>
      <c r="J28" s="1">
        <v>77.8</v>
      </c>
      <c r="K28" s="1">
        <v>70.5</v>
      </c>
      <c r="L28" s="1">
        <v>67.5</v>
      </c>
      <c r="M28" s="1">
        <v>38.6</v>
      </c>
      <c r="N28" s="1">
        <v>43.2</v>
      </c>
      <c r="O28" s="1">
        <v>70</v>
      </c>
      <c r="P28" s="1">
        <v>3.43</v>
      </c>
      <c r="Q28" s="1">
        <v>2.17</v>
      </c>
      <c r="R28" s="1">
        <v>2.15</v>
      </c>
      <c r="S28" s="1">
        <v>4.2</v>
      </c>
      <c r="T28" s="1" t="s">
        <v>15</v>
      </c>
      <c r="U28" s="1">
        <v>37818</v>
      </c>
      <c r="V28" s="1">
        <v>39659</v>
      </c>
      <c r="W28" s="1">
        <f>IF(Table1[[#This Row],[WHRS NET KW TOTAL]]="","", Table1[[#This Row],[WHRS NET KW TOTAL]]-U27)</f>
        <v>1836</v>
      </c>
      <c r="X28" s="6">
        <f>Table1[[#This Row],[WHRS  KW TOTAL]]-V27</f>
        <v>1928</v>
      </c>
      <c r="Y28" s="6">
        <f>IF(AND(Table1[[#This Row],[WHRS KW RECOVERED PER DAY]]&lt;&gt;0,Table1[[#This Row],[WHRS RH]]&lt;&gt;0),ROUND(Table1[[#This Row],[WHRS KW RECOVERED PER DAY]]/Table1[[#This Row],[WHRS RH]],1))</f>
        <v>113.4</v>
      </c>
      <c r="Z28" s="8">
        <v>17</v>
      </c>
      <c r="AA28" s="1">
        <v>99.8</v>
      </c>
      <c r="AB28" s="1">
        <v>11844</v>
      </c>
      <c r="AC28" s="1">
        <v>1900</v>
      </c>
      <c r="AD28" s="1">
        <v>32</v>
      </c>
      <c r="AE28" s="1">
        <v>37</v>
      </c>
      <c r="AF28" s="1">
        <f t="shared" si="1"/>
        <v>182.4</v>
      </c>
      <c r="AG28" s="1">
        <f t="shared" si="2"/>
        <v>820</v>
      </c>
      <c r="AH28" s="1">
        <f t="shared" si="3"/>
        <v>274.60684800000001</v>
      </c>
      <c r="AI28" s="1">
        <f>IF(AH28="", "", SUM($AH$4:AH28))</f>
        <v>9349.6904599999998</v>
      </c>
      <c r="AJ28" s="9"/>
    </row>
    <row r="29" spans="1:36">
      <c r="A29" s="7">
        <v>46277.166666666664</v>
      </c>
      <c r="B29" s="1" t="s">
        <v>44</v>
      </c>
      <c r="C29" s="1" t="s">
        <v>41</v>
      </c>
      <c r="D29" s="1">
        <v>0</v>
      </c>
      <c r="E29" s="1">
        <v>0</v>
      </c>
      <c r="F29" s="1">
        <v>75</v>
      </c>
      <c r="G29" s="1">
        <v>78</v>
      </c>
      <c r="T29" s="1" t="s">
        <v>45</v>
      </c>
      <c r="U29" s="1">
        <v>37818</v>
      </c>
      <c r="V29" s="1">
        <v>39659</v>
      </c>
      <c r="W29" s="1">
        <f>IF(Table1[[#This Row],[WHRS NET KW TOTAL]]="","", Table1[[#This Row],[WHRS NET KW TOTAL]]-U28)</f>
        <v>0</v>
      </c>
      <c r="X29" s="6">
        <f>Table1[[#This Row],[WHRS  KW TOTAL]]-V28</f>
        <v>0</v>
      </c>
      <c r="Y29" s="6" t="b">
        <f>IF(AND(Table1[[#This Row],[WHRS KW RECOVERED PER DAY]]&lt;&gt;0,Table1[[#This Row],[WHRS RH]]&lt;&gt;0),ROUND(Table1[[#This Row],[WHRS KW RECOVERED PER DAY]]/Table1[[#This Row],[WHRS RH]],1))</f>
        <v>0</v>
      </c>
      <c r="Z29" s="8">
        <v>0</v>
      </c>
      <c r="AA29" s="1"/>
      <c r="AB29" s="1"/>
      <c r="AC29" s="1"/>
      <c r="AD29" s="1"/>
      <c r="AE29" s="1"/>
      <c r="AF29" s="1">
        <f t="shared" si="1"/>
        <v>182.4</v>
      </c>
      <c r="AG29" s="1">
        <f t="shared" si="2"/>
        <v>820</v>
      </c>
      <c r="AH29" s="1">
        <f t="shared" si="3"/>
        <v>0</v>
      </c>
      <c r="AI29" s="1">
        <f>IF(AH29="", "", SUM($AH$4:AH29))</f>
        <v>9349.6904599999998</v>
      </c>
      <c r="AJ29" s="9"/>
    </row>
    <row r="30" spans="1:36">
      <c r="A30" s="7">
        <v>46278.166666666664</v>
      </c>
      <c r="B30" s="1" t="s">
        <v>44</v>
      </c>
      <c r="C30" s="1" t="s">
        <v>41</v>
      </c>
      <c r="D30" s="1">
        <v>0</v>
      </c>
      <c r="E30" s="1">
        <v>0</v>
      </c>
      <c r="F30" s="1">
        <v>75</v>
      </c>
      <c r="G30" s="1">
        <v>78</v>
      </c>
      <c r="T30" s="1" t="s">
        <v>45</v>
      </c>
      <c r="U30" s="1">
        <v>37818</v>
      </c>
      <c r="V30" s="1">
        <v>39659</v>
      </c>
      <c r="W30" s="1">
        <f>IF(Table1[[#This Row],[WHRS NET KW TOTAL]]="","", Table1[[#This Row],[WHRS NET KW TOTAL]]-U29)</f>
        <v>0</v>
      </c>
      <c r="X30" s="6">
        <f>Table1[[#This Row],[WHRS  KW TOTAL]]-V29</f>
        <v>0</v>
      </c>
      <c r="Y30" s="6" t="b">
        <f>IF(AND(Table1[[#This Row],[WHRS KW RECOVERED PER DAY]]&lt;&gt;0,Table1[[#This Row],[WHRS RH]]&lt;&gt;0),ROUND(Table1[[#This Row],[WHRS KW RECOVERED PER DAY]]/Table1[[#This Row],[WHRS RH]],1))</f>
        <v>0</v>
      </c>
      <c r="Z30" s="8">
        <v>0</v>
      </c>
      <c r="AA30" s="1"/>
      <c r="AB30" s="1"/>
      <c r="AC30" s="1"/>
      <c r="AD30" s="1"/>
      <c r="AE30" s="1"/>
      <c r="AF30" s="1">
        <f t="shared" si="1"/>
        <v>182.4</v>
      </c>
      <c r="AG30" s="1">
        <f t="shared" si="2"/>
        <v>820</v>
      </c>
      <c r="AH30" s="1">
        <f t="shared" si="3"/>
        <v>0</v>
      </c>
      <c r="AI30" s="1">
        <f>IF(AH30="", "", SUM($AH$4:AH30))</f>
        <v>9349.6904599999998</v>
      </c>
      <c r="AJ30" s="9"/>
    </row>
    <row r="31" spans="1:36">
      <c r="A31" s="7">
        <v>46279.166666666664</v>
      </c>
      <c r="B31" s="1" t="s">
        <v>14</v>
      </c>
      <c r="C31" s="1" t="s">
        <v>41</v>
      </c>
      <c r="D31" s="1">
        <v>54</v>
      </c>
      <c r="E31" s="1">
        <v>65</v>
      </c>
      <c r="F31" s="1">
        <v>73</v>
      </c>
      <c r="G31" s="1">
        <v>80</v>
      </c>
      <c r="H31" s="1">
        <v>214.4</v>
      </c>
      <c r="I31" s="1">
        <v>72.599999999999994</v>
      </c>
      <c r="J31" s="1">
        <v>78</v>
      </c>
      <c r="K31" s="1">
        <v>70.8</v>
      </c>
      <c r="L31" s="1">
        <v>67.7</v>
      </c>
      <c r="M31" s="1">
        <v>37.6</v>
      </c>
      <c r="N31" s="1">
        <v>42.6</v>
      </c>
      <c r="O31" s="1">
        <v>72.900000000000006</v>
      </c>
      <c r="P31" s="1">
        <v>3.16</v>
      </c>
      <c r="Q31" s="1">
        <v>2.0099999999999998</v>
      </c>
      <c r="R31" s="1">
        <v>2</v>
      </c>
      <c r="S31" s="1">
        <v>4.3499999999999996</v>
      </c>
      <c r="T31" s="1" t="s">
        <v>15</v>
      </c>
      <c r="U31" s="1">
        <v>39809</v>
      </c>
      <c r="V31" s="1">
        <v>41751</v>
      </c>
      <c r="W31" s="1">
        <f>IF(Table1[[#This Row],[WHRS NET KW TOTAL]]="","", Table1[[#This Row],[WHRS NET KW TOTAL]]-U30)</f>
        <v>1991</v>
      </c>
      <c r="X31" s="6">
        <f>Table1[[#This Row],[WHRS  KW TOTAL]]-V30</f>
        <v>2092</v>
      </c>
      <c r="Y31" s="6">
        <f>IF(AND(Table1[[#This Row],[WHRS KW RECOVERED PER DAY]]&lt;&gt;0,Table1[[#This Row],[WHRS RH]]&lt;&gt;0),ROUND(Table1[[#This Row],[WHRS KW RECOVERED PER DAY]]/Table1[[#This Row],[WHRS RH]],1))</f>
        <v>104.6</v>
      </c>
      <c r="Z31" s="8">
        <v>20</v>
      </c>
      <c r="AA31" s="1">
        <v>100.2</v>
      </c>
      <c r="AB31" s="1">
        <v>11930</v>
      </c>
      <c r="AC31" s="1">
        <v>2181</v>
      </c>
      <c r="AD31" s="1">
        <v>32</v>
      </c>
      <c r="AE31" s="1">
        <v>37</v>
      </c>
      <c r="AF31" s="1">
        <f t="shared" si="1"/>
        <v>182.4</v>
      </c>
      <c r="AG31" s="1">
        <f t="shared" si="2"/>
        <v>820</v>
      </c>
      <c r="AH31" s="1">
        <f t="shared" si="3"/>
        <v>297.78988800000002</v>
      </c>
      <c r="AI31" s="1">
        <f>IF(AH31="", "", SUM($AH$4:AH31))</f>
        <v>9647.4803479999991</v>
      </c>
      <c r="AJ31" s="9"/>
    </row>
    <row r="32" spans="1:36">
      <c r="A32" s="7">
        <v>46280.166666608799</v>
      </c>
      <c r="B32" s="1" t="s">
        <v>14</v>
      </c>
      <c r="C32" s="1" t="s">
        <v>41</v>
      </c>
      <c r="D32" s="1">
        <v>55</v>
      </c>
      <c r="E32" s="1">
        <v>65</v>
      </c>
      <c r="F32" s="1">
        <v>72</v>
      </c>
      <c r="G32" s="1">
        <v>80</v>
      </c>
      <c r="H32" s="1">
        <v>214.3</v>
      </c>
      <c r="I32" s="1">
        <v>73.099999999999994</v>
      </c>
      <c r="J32" s="1">
        <v>77.900000000000006</v>
      </c>
      <c r="K32" s="1">
        <v>70.400000000000006</v>
      </c>
      <c r="L32" s="1">
        <v>67.3</v>
      </c>
      <c r="M32" s="1">
        <v>36.299999999999997</v>
      </c>
      <c r="N32" s="1">
        <v>41.5</v>
      </c>
      <c r="O32" s="1">
        <v>77.099999999999994</v>
      </c>
      <c r="P32" s="1">
        <v>3.96</v>
      </c>
      <c r="Q32" s="1">
        <v>2.0299999999999998</v>
      </c>
      <c r="R32" s="1">
        <v>1.98</v>
      </c>
      <c r="S32" s="1">
        <v>4.68</v>
      </c>
      <c r="T32" s="1" t="s">
        <v>15</v>
      </c>
      <c r="U32" s="1">
        <v>42630</v>
      </c>
      <c r="V32" s="1">
        <v>44704</v>
      </c>
      <c r="W32" s="1">
        <f>IF(Table1[[#This Row],[WHRS NET KW TOTAL]]="","", Table1[[#This Row],[WHRS NET KW TOTAL]]-U31)</f>
        <v>2821</v>
      </c>
      <c r="X32" s="6">
        <f>Table1[[#This Row],[WHRS  KW TOTAL]]-V31</f>
        <v>2953</v>
      </c>
      <c r="Y32" s="6">
        <f>IF(AND(Table1[[#This Row],[WHRS KW RECOVERED PER DAY]]&lt;&gt;0,Table1[[#This Row],[WHRS RH]]&lt;&gt;0),ROUND(Table1[[#This Row],[WHRS KW RECOVERED PER DAY]]/Table1[[#This Row],[WHRS RH]],1))</f>
        <v>123</v>
      </c>
      <c r="Z32" s="8">
        <v>24</v>
      </c>
      <c r="AA32" s="1">
        <v>99.8</v>
      </c>
      <c r="AB32" s="1">
        <v>11944</v>
      </c>
      <c r="AC32" s="1">
        <v>2299</v>
      </c>
      <c r="AD32" s="1">
        <v>30</v>
      </c>
      <c r="AE32" s="1">
        <v>35</v>
      </c>
      <c r="AF32" s="1">
        <f t="shared" si="1"/>
        <v>182.4</v>
      </c>
      <c r="AG32" s="1">
        <f t="shared" si="2"/>
        <v>820</v>
      </c>
      <c r="AH32" s="1">
        <f t="shared" si="3"/>
        <v>421.93132800000006</v>
      </c>
      <c r="AI32" s="1">
        <f>IF(AH32="", "", SUM($AH$4:AH32))</f>
        <v>10069.411676</v>
      </c>
      <c r="AJ32" s="9"/>
    </row>
    <row r="33" spans="1:36">
      <c r="A33" s="7">
        <v>46281.166666608799</v>
      </c>
      <c r="B33" s="1" t="s">
        <v>14</v>
      </c>
      <c r="C33" s="1" t="s">
        <v>41</v>
      </c>
      <c r="D33" s="1">
        <v>62</v>
      </c>
      <c r="E33" s="1">
        <v>63</v>
      </c>
      <c r="F33" s="1">
        <v>73</v>
      </c>
      <c r="G33" s="1">
        <v>80</v>
      </c>
      <c r="H33" s="1">
        <v>214.5</v>
      </c>
      <c r="I33" s="1">
        <v>73.599999999999994</v>
      </c>
      <c r="J33" s="1">
        <v>77.8</v>
      </c>
      <c r="K33" s="1">
        <v>71</v>
      </c>
      <c r="L33" s="1">
        <v>67.599999999999994</v>
      </c>
      <c r="M33" s="1">
        <v>36.5</v>
      </c>
      <c r="N33" s="1">
        <v>41.5</v>
      </c>
      <c r="O33" s="1">
        <v>77.3</v>
      </c>
      <c r="P33" s="1">
        <v>3.75</v>
      </c>
      <c r="Q33" s="1">
        <v>2</v>
      </c>
      <c r="R33" s="1">
        <v>1.97</v>
      </c>
      <c r="S33" s="1">
        <v>4.62</v>
      </c>
      <c r="T33" s="1" t="s">
        <v>15</v>
      </c>
      <c r="U33" s="1">
        <v>45368</v>
      </c>
      <c r="V33" s="1">
        <v>47571</v>
      </c>
      <c r="W33" s="1">
        <f>IF(Table1[[#This Row],[WHRS NET KW TOTAL]]="","", Table1[[#This Row],[WHRS NET KW TOTAL]]-U32)</f>
        <v>2738</v>
      </c>
      <c r="X33" s="6">
        <f>Table1[[#This Row],[WHRS  KW TOTAL]]-V32</f>
        <v>2867</v>
      </c>
      <c r="Y33" s="6">
        <f>IF(AND(Table1[[#This Row],[WHRS KW RECOVERED PER DAY]]&lt;&gt;0,Table1[[#This Row],[WHRS RH]]&lt;&gt;0),ROUND(Table1[[#This Row],[WHRS KW RECOVERED PER DAY]]/Table1[[#This Row],[WHRS RH]],1))</f>
        <v>124.7</v>
      </c>
      <c r="Z33" s="8">
        <v>23</v>
      </c>
      <c r="AA33" s="1">
        <v>99.9</v>
      </c>
      <c r="AB33" s="1">
        <v>11992</v>
      </c>
      <c r="AC33" s="1">
        <v>2299</v>
      </c>
      <c r="AD33" s="1">
        <v>31</v>
      </c>
      <c r="AE33" s="1">
        <v>36</v>
      </c>
      <c r="AF33" s="1">
        <f t="shared" si="1"/>
        <v>182.4</v>
      </c>
      <c r="AG33" s="1">
        <f t="shared" si="2"/>
        <v>820</v>
      </c>
      <c r="AH33" s="1">
        <f t="shared" si="3"/>
        <v>409.51718400000004</v>
      </c>
      <c r="AI33" s="1">
        <f>IF(AH33="", "", SUM($AH$4:AH33))</f>
        <v>10478.92886</v>
      </c>
      <c r="AJ33" s="9"/>
    </row>
    <row r="34" spans="1:36">
      <c r="A34" s="7">
        <v>46282.166666608799</v>
      </c>
      <c r="B34" s="1" t="s">
        <v>47</v>
      </c>
      <c r="C34" s="1" t="s">
        <v>41</v>
      </c>
      <c r="D34" s="1">
        <v>0</v>
      </c>
      <c r="E34" s="1">
        <v>0</v>
      </c>
      <c r="F34" s="1">
        <v>80</v>
      </c>
      <c r="G34" s="1">
        <v>80</v>
      </c>
      <c r="T34" s="1" t="s">
        <v>45</v>
      </c>
      <c r="W34" s="1" t="str">
        <f>IF(Table1[[#This Row],[WHRS NET KW TOTAL]]="","", Table1[[#This Row],[WHRS NET KW TOTAL]]-U33)</f>
        <v/>
      </c>
      <c r="X34" s="6">
        <f>Table1[[#This Row],[WHRS  KW TOTAL]]-V33</f>
        <v>-47571</v>
      </c>
      <c r="Y34" s="6" t="b">
        <f>IF(AND(Table1[[#This Row],[WHRS KW RECOVERED PER DAY]]&lt;&gt;0,Table1[[#This Row],[WHRS RH]]&lt;&gt;0),ROUND(Table1[[#This Row],[WHRS KW RECOVERED PER DAY]]/Table1[[#This Row],[WHRS RH]],1))</f>
        <v>0</v>
      </c>
      <c r="Z34" s="8">
        <v>0</v>
      </c>
      <c r="AA34" s="1"/>
      <c r="AB34" s="1"/>
      <c r="AC34" s="1"/>
      <c r="AD34" s="1"/>
      <c r="AE34" s="1"/>
      <c r="AF34" s="1">
        <f t="shared" si="1"/>
        <v>182.4</v>
      </c>
      <c r="AG34" s="1">
        <f t="shared" si="2"/>
        <v>820</v>
      </c>
      <c r="AH34" s="1" t="str">
        <f t="shared" si="3"/>
        <v/>
      </c>
      <c r="AI34" s="1" t="str">
        <f>IF(AH34="", "", SUM($AH$4:AH34))</f>
        <v/>
      </c>
      <c r="AJ34" s="9"/>
    </row>
    <row r="35" spans="1:36">
      <c r="A35" s="7">
        <v>46283.166666608799</v>
      </c>
      <c r="B35" s="1" t="s">
        <v>47</v>
      </c>
      <c r="C35" s="1" t="s">
        <v>41</v>
      </c>
      <c r="D35" s="1">
        <v>0</v>
      </c>
      <c r="E35" s="1">
        <v>0</v>
      </c>
      <c r="F35" s="1">
        <v>80</v>
      </c>
      <c r="G35" s="1">
        <v>80</v>
      </c>
      <c r="T35" s="1" t="s">
        <v>45</v>
      </c>
      <c r="W35" s="1" t="str">
        <f>IF(Table1[[#This Row],[WHRS NET KW TOTAL]]="","", Table1[[#This Row],[WHRS NET KW TOTAL]]-U34)</f>
        <v/>
      </c>
      <c r="X35" s="6">
        <f>Table1[[#This Row],[WHRS  KW TOTAL]]-V34</f>
        <v>0</v>
      </c>
      <c r="Y35" s="6" t="b">
        <f>IF(AND(Table1[[#This Row],[WHRS KW RECOVERED PER DAY]]&lt;&gt;0,Table1[[#This Row],[WHRS RH]]&lt;&gt;0),ROUND(Table1[[#This Row],[WHRS KW RECOVERED PER DAY]]/Table1[[#This Row],[WHRS RH]],1))</f>
        <v>0</v>
      </c>
      <c r="Z35" s="8">
        <v>0</v>
      </c>
      <c r="AA35" s="1"/>
      <c r="AB35" s="1"/>
      <c r="AC35" s="1"/>
      <c r="AD35" s="1"/>
      <c r="AE35" s="1"/>
      <c r="AF35" s="1">
        <f t="shared" si="1"/>
        <v>182.4</v>
      </c>
      <c r="AG35" s="1">
        <f t="shared" si="2"/>
        <v>820</v>
      </c>
      <c r="AH35" s="1" t="str">
        <f t="shared" si="3"/>
        <v/>
      </c>
      <c r="AI35" s="1" t="str">
        <f>IF(AH35="", "", SUM($AH$4:AH35))</f>
        <v/>
      </c>
      <c r="AJ35" s="9"/>
    </row>
    <row r="36" spans="1:36">
      <c r="A36" s="7">
        <v>46284.166666608799</v>
      </c>
      <c r="B36" s="1" t="s">
        <v>47</v>
      </c>
      <c r="C36" s="1" t="s">
        <v>41</v>
      </c>
      <c r="D36" s="1">
        <v>0</v>
      </c>
      <c r="E36" s="1">
        <v>0</v>
      </c>
      <c r="F36" s="1">
        <v>79</v>
      </c>
      <c r="G36" s="1">
        <v>80</v>
      </c>
      <c r="T36" s="1" t="s">
        <v>45</v>
      </c>
      <c r="W36" s="1" t="str">
        <f>IF(Table1[[#This Row],[WHRS NET KW TOTAL]]="","", Table1[[#This Row],[WHRS NET KW TOTAL]]-U35)</f>
        <v/>
      </c>
      <c r="X36" s="6">
        <f>Table1[[#This Row],[WHRS  KW TOTAL]]-V35</f>
        <v>0</v>
      </c>
      <c r="Y36" s="6" t="b">
        <f>IF(AND(Table1[[#This Row],[WHRS KW RECOVERED PER DAY]]&lt;&gt;0,Table1[[#This Row],[WHRS RH]]&lt;&gt;0),ROUND(Table1[[#This Row],[WHRS KW RECOVERED PER DAY]]/Table1[[#This Row],[WHRS RH]],1))</f>
        <v>0</v>
      </c>
      <c r="Z36" s="8">
        <v>0</v>
      </c>
      <c r="AA36" s="1"/>
      <c r="AB36" s="1"/>
      <c r="AC36" s="1"/>
      <c r="AD36" s="1"/>
      <c r="AE36" s="1"/>
      <c r="AF36" s="1">
        <f t="shared" si="1"/>
        <v>182.4</v>
      </c>
      <c r="AG36" s="1">
        <f t="shared" si="2"/>
        <v>820</v>
      </c>
      <c r="AH36" s="1" t="str">
        <f t="shared" si="3"/>
        <v/>
      </c>
      <c r="AI36" s="1" t="str">
        <f>IF(AH36="", "", SUM($AH$4:AH36))</f>
        <v/>
      </c>
      <c r="AJ36" s="9"/>
    </row>
    <row r="37" spans="1:36">
      <c r="A37" s="7">
        <v>46285.166666608799</v>
      </c>
      <c r="B37" s="1" t="s">
        <v>47</v>
      </c>
      <c r="C37" s="1" t="s">
        <v>41</v>
      </c>
      <c r="D37" s="1">
        <v>0</v>
      </c>
      <c r="E37" s="1">
        <v>0</v>
      </c>
      <c r="F37" s="1">
        <v>78</v>
      </c>
      <c r="G37" s="1">
        <v>80</v>
      </c>
      <c r="T37" s="1" t="s">
        <v>45</v>
      </c>
      <c r="W37" s="1" t="str">
        <f>IF(Table1[[#This Row],[WHRS NET KW TOTAL]]="","", Table1[[#This Row],[WHRS NET KW TOTAL]]-U36)</f>
        <v/>
      </c>
      <c r="X37" s="6">
        <f>Table1[[#This Row],[WHRS  KW TOTAL]]-V36</f>
        <v>0</v>
      </c>
      <c r="Y37" s="6" t="b">
        <f>IF(AND(Table1[[#This Row],[WHRS KW RECOVERED PER DAY]]&lt;&gt;0,Table1[[#This Row],[WHRS RH]]&lt;&gt;0),ROUND(Table1[[#This Row],[WHRS KW RECOVERED PER DAY]]/Table1[[#This Row],[WHRS RH]],1))</f>
        <v>0</v>
      </c>
      <c r="Z37" s="8">
        <v>0</v>
      </c>
      <c r="AA37" s="1"/>
      <c r="AB37" s="1"/>
      <c r="AC37" s="1"/>
      <c r="AD37" s="1"/>
      <c r="AE37" s="1"/>
      <c r="AF37" s="1">
        <f t="shared" si="1"/>
        <v>182.4</v>
      </c>
      <c r="AG37" s="1">
        <f t="shared" si="2"/>
        <v>820</v>
      </c>
      <c r="AH37" s="1" t="str">
        <f t="shared" si="3"/>
        <v/>
      </c>
      <c r="AI37" s="1" t="str">
        <f>IF(AH37="", "", SUM($AH$4:AH37))</f>
        <v/>
      </c>
      <c r="AJ37" s="9"/>
    </row>
    <row r="38" spans="1:36">
      <c r="A38" s="7">
        <v>46286.166666608799</v>
      </c>
      <c r="B38" s="1" t="s">
        <v>44</v>
      </c>
      <c r="C38" s="1" t="s">
        <v>41</v>
      </c>
      <c r="D38" s="1">
        <v>0</v>
      </c>
      <c r="E38" s="1">
        <v>0</v>
      </c>
      <c r="F38" s="1">
        <v>79</v>
      </c>
      <c r="G38" s="1">
        <v>80</v>
      </c>
      <c r="T38" s="1" t="s">
        <v>45</v>
      </c>
      <c r="W38" s="1" t="str">
        <f>IF(Table1[[#This Row],[WHRS NET KW TOTAL]]="","", Table1[[#This Row],[WHRS NET KW TOTAL]]-U37)</f>
        <v/>
      </c>
      <c r="X38" s="6">
        <f>Table1[[#This Row],[WHRS  KW TOTAL]]-V37</f>
        <v>0</v>
      </c>
      <c r="Y38" s="6" t="b">
        <f>IF(AND(Table1[[#This Row],[WHRS KW RECOVERED PER DAY]]&lt;&gt;0,Table1[[#This Row],[WHRS RH]]&lt;&gt;0),ROUND(Table1[[#This Row],[WHRS KW RECOVERED PER DAY]]/Table1[[#This Row],[WHRS RH]],1))</f>
        <v>0</v>
      </c>
      <c r="Z38" s="8">
        <v>0</v>
      </c>
      <c r="AA38" s="1"/>
      <c r="AB38" s="1"/>
      <c r="AC38" s="1"/>
      <c r="AD38" s="1"/>
      <c r="AE38" s="1"/>
      <c r="AF38" s="1">
        <f t="shared" si="1"/>
        <v>182.4</v>
      </c>
      <c r="AG38" s="1">
        <f t="shared" si="2"/>
        <v>820</v>
      </c>
      <c r="AH38" s="1" t="str">
        <f t="shared" si="3"/>
        <v/>
      </c>
      <c r="AI38" s="1" t="str">
        <f>IF(AH38="", "", SUM($AH$4:AH38))</f>
        <v/>
      </c>
      <c r="AJ38" s="9"/>
    </row>
    <row r="39" spans="1:36">
      <c r="A39" s="7">
        <v>46287.166666608799</v>
      </c>
      <c r="B39" s="1" t="s">
        <v>14</v>
      </c>
      <c r="C39" s="1" t="s">
        <v>41</v>
      </c>
      <c r="D39" s="1">
        <v>58</v>
      </c>
      <c r="E39" s="1">
        <v>65</v>
      </c>
      <c r="F39" s="1">
        <v>73</v>
      </c>
      <c r="G39" s="1">
        <v>80</v>
      </c>
      <c r="H39" s="1">
        <v>223</v>
      </c>
      <c r="I39" s="1">
        <v>73.099999999999994</v>
      </c>
      <c r="J39" s="1">
        <v>77.900000000000006</v>
      </c>
      <c r="K39" s="1">
        <v>70.099999999999994</v>
      </c>
      <c r="L39" s="1">
        <v>67.3</v>
      </c>
      <c r="M39" s="1">
        <v>35.9</v>
      </c>
      <c r="N39" s="1">
        <v>41.2</v>
      </c>
      <c r="O39" s="1">
        <v>75.900000000000006</v>
      </c>
      <c r="P39" s="1">
        <v>3.98</v>
      </c>
      <c r="Q39" s="1">
        <v>1.98</v>
      </c>
      <c r="R39" s="1">
        <v>1.94</v>
      </c>
      <c r="S39" s="1">
        <v>4.7</v>
      </c>
      <c r="T39" s="1" t="s">
        <v>15</v>
      </c>
      <c r="U39" s="1">
        <v>48478</v>
      </c>
      <c r="V39" s="1">
        <v>50821</v>
      </c>
      <c r="W39" s="1">
        <f>IF(Table1[[#This Row],[WHRS NET KW TOTAL]]="","", Table1[[#This Row],[WHRS NET KW TOTAL]]-U38)</f>
        <v>48478</v>
      </c>
      <c r="X39" s="6">
        <f>Table1[[#This Row],[WHRS  KW TOTAL]]-V38</f>
        <v>50821</v>
      </c>
      <c r="Y39" s="6">
        <f>IF(AND(Table1[[#This Row],[WHRS KW RECOVERED PER DAY]]&lt;&gt;0,Table1[[#This Row],[WHRS RH]]&lt;&gt;0),ROUND(Table1[[#This Row],[WHRS KW RECOVERED PER DAY]]/Table1[[#This Row],[WHRS RH]],1))</f>
        <v>4235.1000000000004</v>
      </c>
      <c r="Z39" s="8">
        <v>12</v>
      </c>
      <c r="AA39" s="1">
        <v>100</v>
      </c>
      <c r="AB39" s="1">
        <v>11945</v>
      </c>
      <c r="AC39" s="1">
        <v>2299</v>
      </c>
      <c r="AD39" s="1">
        <v>29</v>
      </c>
      <c r="AE39" s="1">
        <v>35</v>
      </c>
      <c r="AF39" s="1">
        <f t="shared" si="1"/>
        <v>182.4</v>
      </c>
      <c r="AG39" s="1">
        <f t="shared" si="2"/>
        <v>820</v>
      </c>
      <c r="AH39" s="1">
        <f t="shared" si="3"/>
        <v>7250.7575040000011</v>
      </c>
      <c r="AI39" s="1">
        <f>IF(AH39="", "", SUM($AH$4:AH39))</f>
        <v>17729.686364000001</v>
      </c>
      <c r="AJ39" s="9"/>
    </row>
    <row r="40" spans="1:36">
      <c r="A40" s="7">
        <v>46288.166666608799</v>
      </c>
      <c r="B40" s="1" t="s">
        <v>14</v>
      </c>
      <c r="C40" s="1" t="s">
        <v>41</v>
      </c>
      <c r="D40" s="1">
        <v>59</v>
      </c>
      <c r="E40" s="1">
        <v>66</v>
      </c>
      <c r="F40" s="1">
        <v>73</v>
      </c>
      <c r="G40" s="1">
        <v>80</v>
      </c>
      <c r="H40" s="1">
        <v>223</v>
      </c>
      <c r="I40" s="1">
        <v>73.099999999999994</v>
      </c>
      <c r="J40" s="1">
        <v>77.8</v>
      </c>
      <c r="K40" s="1">
        <v>70.2</v>
      </c>
      <c r="L40" s="1">
        <v>66.8</v>
      </c>
      <c r="M40" s="1">
        <v>32.5</v>
      </c>
      <c r="N40" s="1">
        <v>37.9</v>
      </c>
      <c r="O40" s="1">
        <v>78</v>
      </c>
      <c r="P40" s="1">
        <v>3.71</v>
      </c>
      <c r="Q40" s="1">
        <v>1.65</v>
      </c>
      <c r="R40" s="1">
        <v>1.65</v>
      </c>
      <c r="S40" s="1">
        <v>4.51</v>
      </c>
      <c r="T40" s="1" t="s">
        <v>15</v>
      </c>
      <c r="U40" s="1">
        <v>51822</v>
      </c>
      <c r="V40" s="1">
        <v>54305</v>
      </c>
      <c r="W40" s="1">
        <f>IF(Table1[[#This Row],[WHRS NET KW TOTAL]]="","", Table1[[#This Row],[WHRS NET KW TOTAL]]-U39)</f>
        <v>3344</v>
      </c>
      <c r="X40" s="6">
        <f>Table1[[#This Row],[WHRS  KW TOTAL]]-V39</f>
        <v>3484</v>
      </c>
      <c r="Y40" s="6">
        <f>IF(AND(Table1[[#This Row],[WHRS KW RECOVERED PER DAY]]&lt;&gt;0,Table1[[#This Row],[WHRS RH]]&lt;&gt;0),ROUND(Table1[[#This Row],[WHRS KW RECOVERED PER DAY]]/Table1[[#This Row],[WHRS RH]],1))</f>
        <v>151.5</v>
      </c>
      <c r="Z40" s="8">
        <v>23</v>
      </c>
      <c r="AA40" s="1">
        <v>100</v>
      </c>
      <c r="AB40" s="1">
        <v>11939</v>
      </c>
      <c r="AC40" s="1">
        <v>2299</v>
      </c>
      <c r="AD40" s="1">
        <v>26</v>
      </c>
      <c r="AE40" s="1">
        <v>32</v>
      </c>
      <c r="AF40" s="1">
        <f t="shared" si="1"/>
        <v>182.4</v>
      </c>
      <c r="AG40" s="1">
        <f>IF(C40="", "", _xlfn.IFS(C40="LNG", 1345, C40="LSMGO", 1280, C40="VLSFO", 820, C40="HSFO", 635, TRUE, ""))</f>
        <v>820</v>
      </c>
      <c r="AH40" s="1">
        <f t="shared" si="3"/>
        <v>500.15539200000006</v>
      </c>
      <c r="AI40" s="1">
        <f>IF(AH40="", "", SUM($AH$4:AH40))</f>
        <v>18229.841756000002</v>
      </c>
      <c r="AJ40" s="9"/>
    </row>
    <row r="41" spans="1:36">
      <c r="A41" s="7">
        <v>46289.166666608799</v>
      </c>
      <c r="B41" s="1" t="s">
        <v>14</v>
      </c>
      <c r="C41" s="1" t="s">
        <v>41</v>
      </c>
      <c r="D41" s="1">
        <v>59</v>
      </c>
      <c r="E41" s="1">
        <v>66</v>
      </c>
      <c r="F41" s="1">
        <v>73</v>
      </c>
      <c r="G41" s="1">
        <v>80</v>
      </c>
      <c r="H41" s="1">
        <v>223</v>
      </c>
      <c r="I41" s="1">
        <v>73.099999999999994</v>
      </c>
      <c r="J41" s="1">
        <v>77.599999999999994</v>
      </c>
      <c r="K41" s="1">
        <v>70</v>
      </c>
      <c r="L41" s="1">
        <v>66.7</v>
      </c>
      <c r="M41" s="1">
        <v>30.8</v>
      </c>
      <c r="N41" s="1">
        <v>39.1</v>
      </c>
      <c r="O41" s="1">
        <v>77.7</v>
      </c>
      <c r="P41" s="1">
        <v>3.71</v>
      </c>
      <c r="Q41" s="1">
        <v>1.66</v>
      </c>
      <c r="R41" s="1">
        <v>1.64</v>
      </c>
      <c r="S41" s="1">
        <v>4.5</v>
      </c>
      <c r="T41" s="1" t="s">
        <v>15</v>
      </c>
      <c r="U41" s="1">
        <v>55403</v>
      </c>
      <c r="V41" s="1">
        <v>58029</v>
      </c>
      <c r="W41" s="1">
        <f>IF(Table1[[#This Row],[WHRS NET KW TOTAL]]="","", Table1[[#This Row],[WHRS NET KW TOTAL]]-U40)</f>
        <v>3581</v>
      </c>
      <c r="X41" s="6">
        <f>Table1[[#This Row],[WHRS  KW TOTAL]]-V40</f>
        <v>3724</v>
      </c>
      <c r="Y41" s="6">
        <f>IF(AND(Table1[[#This Row],[WHRS KW RECOVERED PER DAY]]&lt;&gt;0,Table1[[#This Row],[WHRS RH]]&lt;&gt;0),ROUND(Table1[[#This Row],[WHRS KW RECOVERED PER DAY]]/Table1[[#This Row],[WHRS RH]],1))</f>
        <v>155.19999999999999</v>
      </c>
      <c r="Z41" s="8">
        <v>24</v>
      </c>
      <c r="AA41" s="1">
        <v>100</v>
      </c>
      <c r="AB41" s="1">
        <v>11940</v>
      </c>
      <c r="AC41" s="1">
        <v>2299</v>
      </c>
      <c r="AD41" s="1">
        <v>24</v>
      </c>
      <c r="AE41" s="1">
        <v>30</v>
      </c>
      <c r="AF41" s="1">
        <f t="shared" si="1"/>
        <v>182.4</v>
      </c>
      <c r="AG41" s="1">
        <f t="shared" si="2"/>
        <v>820</v>
      </c>
      <c r="AH41" s="1">
        <f t="shared" si="3"/>
        <v>535.60300800000005</v>
      </c>
      <c r="AI41" s="1">
        <f>IF(AH41="", "", SUM($AH$4:AH41))</f>
        <v>18765.444764</v>
      </c>
      <c r="AJ41" s="9"/>
    </row>
    <row r="42" spans="1:36">
      <c r="A42" s="7">
        <v>46290.166666608799</v>
      </c>
      <c r="B42" s="1" t="s">
        <v>14</v>
      </c>
      <c r="C42" s="1" t="s">
        <v>41</v>
      </c>
      <c r="D42" s="1">
        <v>59</v>
      </c>
      <c r="E42" s="1">
        <v>66</v>
      </c>
      <c r="F42" s="1">
        <v>73</v>
      </c>
      <c r="G42" s="1">
        <v>80</v>
      </c>
      <c r="H42" s="1">
        <v>223.3</v>
      </c>
      <c r="I42" s="1">
        <v>73.2</v>
      </c>
      <c r="J42" s="1">
        <v>77.400000000000006</v>
      </c>
      <c r="K42" s="1">
        <v>70.900000000000006</v>
      </c>
      <c r="L42" s="1">
        <v>67.8</v>
      </c>
      <c r="M42" s="1">
        <v>30.4</v>
      </c>
      <c r="N42" s="1">
        <v>45.5</v>
      </c>
      <c r="O42" s="1">
        <v>76</v>
      </c>
      <c r="P42" s="1">
        <v>3.69</v>
      </c>
      <c r="Q42" s="1">
        <v>2.1</v>
      </c>
      <c r="R42" s="1">
        <v>2.02</v>
      </c>
      <c r="S42" s="1">
        <v>4.66</v>
      </c>
      <c r="T42" s="1" t="s">
        <v>15</v>
      </c>
      <c r="U42" s="1">
        <v>58527</v>
      </c>
      <c r="V42" s="1">
        <v>61293</v>
      </c>
      <c r="W42" s="1">
        <f>IF(Table1[[#This Row],[WHRS NET KW TOTAL]]="","", Table1[[#This Row],[WHRS NET KW TOTAL]]-U41)</f>
        <v>3124</v>
      </c>
      <c r="X42" s="6">
        <f>Table1[[#This Row],[WHRS  KW TOTAL]]-V41</f>
        <v>3264</v>
      </c>
      <c r="Y42" s="6">
        <f>IF(AND(Table1[[#This Row],[WHRS KW RECOVERED PER DAY]]&lt;&gt;0,Table1[[#This Row],[WHRS RH]]&lt;&gt;0),ROUND(Table1[[#This Row],[WHRS KW RECOVERED PER DAY]]/Table1[[#This Row],[WHRS RH]],1))</f>
        <v>136</v>
      </c>
      <c r="Z42" s="8">
        <v>24</v>
      </c>
      <c r="AA42" s="1">
        <v>100</v>
      </c>
      <c r="AB42" s="1">
        <v>11997</v>
      </c>
      <c r="AC42" s="1">
        <v>2047</v>
      </c>
      <c r="AD42" s="1">
        <v>19</v>
      </c>
      <c r="AE42" s="1">
        <v>26</v>
      </c>
      <c r="AF42" s="1">
        <f t="shared" si="1"/>
        <v>182.4</v>
      </c>
      <c r="AG42" s="1">
        <f t="shared" si="2"/>
        <v>820</v>
      </c>
      <c r="AH42" s="1">
        <f t="shared" si="3"/>
        <v>467.25043200000005</v>
      </c>
      <c r="AI42" s="1">
        <f>IF(AH42="", "", SUM($AH$4:AH42))</f>
        <v>19232.695196000001</v>
      </c>
      <c r="AJ42" s="9"/>
    </row>
    <row r="43" spans="1:36">
      <c r="A43" s="7">
        <v>46291.166666608799</v>
      </c>
      <c r="B43" s="1" t="s">
        <v>14</v>
      </c>
      <c r="C43" s="1" t="s">
        <v>41</v>
      </c>
      <c r="D43" s="1">
        <v>62</v>
      </c>
      <c r="E43" s="1">
        <v>66</v>
      </c>
      <c r="F43" s="1">
        <v>73</v>
      </c>
      <c r="G43" s="1">
        <v>80</v>
      </c>
      <c r="H43" s="1">
        <v>223.5</v>
      </c>
      <c r="I43" s="1">
        <v>73.099999999999994</v>
      </c>
      <c r="J43" s="1">
        <v>77.400000000000006</v>
      </c>
      <c r="K43" s="1">
        <v>71.400000000000006</v>
      </c>
      <c r="L43" s="1">
        <v>68.2</v>
      </c>
      <c r="M43" s="1">
        <v>30.3</v>
      </c>
      <c r="N43" s="1">
        <v>47.4</v>
      </c>
      <c r="O43" s="1">
        <v>77.7</v>
      </c>
      <c r="P43" s="1">
        <v>4.0199999999999996</v>
      </c>
      <c r="Q43" s="1">
        <v>2.4300000000000002</v>
      </c>
      <c r="R43" s="1">
        <v>2.2999999999999998</v>
      </c>
      <c r="S43" s="1">
        <v>4.8099999999999996</v>
      </c>
      <c r="T43" s="1" t="s">
        <v>15</v>
      </c>
      <c r="U43" s="1">
        <v>60888</v>
      </c>
      <c r="V43" s="1">
        <v>63776</v>
      </c>
      <c r="W43" s="1">
        <f>IF(Table1[[#This Row],[WHRS NET KW TOTAL]]="","", Table1[[#This Row],[WHRS NET KW TOTAL]]-U42)</f>
        <v>2361</v>
      </c>
      <c r="X43" s="6">
        <f>Table1[[#This Row],[WHRS  KW TOTAL]]-V42</f>
        <v>2483</v>
      </c>
      <c r="Y43" s="6">
        <f>IF(AND(Table1[[#This Row],[WHRS KW RECOVERED PER DAY]]&lt;&gt;0,Table1[[#This Row],[WHRS RH]]&lt;&gt;0),ROUND(Table1[[#This Row],[WHRS KW RECOVERED PER DAY]]/Table1[[#This Row],[WHRS RH]],1))</f>
        <v>108</v>
      </c>
      <c r="Z43" s="8">
        <v>23</v>
      </c>
      <c r="AA43" s="1">
        <v>100</v>
      </c>
      <c r="AB43" s="1">
        <v>11948</v>
      </c>
      <c r="AC43" s="1">
        <v>2299</v>
      </c>
      <c r="AD43" s="1">
        <v>18</v>
      </c>
      <c r="AE43" s="1">
        <v>25.2</v>
      </c>
      <c r="AF43" s="1">
        <f t="shared" si="1"/>
        <v>182.4</v>
      </c>
      <c r="AG43" s="1">
        <f t="shared" si="2"/>
        <v>820</v>
      </c>
      <c r="AH43" s="1">
        <f t="shared" si="3"/>
        <v>353.13004800000004</v>
      </c>
      <c r="AI43" s="1">
        <f>IF(AH43="", "", SUM($AH$4:AH43))</f>
        <v>19585.825244</v>
      </c>
      <c r="AJ43" s="9"/>
    </row>
    <row r="44" spans="1:36">
      <c r="A44" s="7">
        <v>46292.166666608799</v>
      </c>
      <c r="B44" s="1" t="s">
        <v>47</v>
      </c>
      <c r="C44" s="1" t="s">
        <v>41</v>
      </c>
      <c r="D44" s="1">
        <v>0</v>
      </c>
      <c r="E44" s="1">
        <v>0</v>
      </c>
      <c r="F44" s="1">
        <v>79</v>
      </c>
      <c r="G44" s="1">
        <v>80</v>
      </c>
      <c r="T44" s="1" t="s">
        <v>45</v>
      </c>
      <c r="W44" s="1" t="str">
        <f>IF(Table1[[#This Row],[WHRS NET KW TOTAL]]="","", Table1[[#This Row],[WHRS NET KW TOTAL]]-U43)</f>
        <v/>
      </c>
      <c r="X44" s="6">
        <f>Table1[[#This Row],[WHRS  KW TOTAL]]-V43</f>
        <v>-63776</v>
      </c>
      <c r="Y44" s="6" t="b">
        <f>IF(AND(Table1[[#This Row],[WHRS KW RECOVERED PER DAY]]&lt;&gt;0,Table1[[#This Row],[WHRS RH]]&lt;&gt;0),ROUND(Table1[[#This Row],[WHRS KW RECOVERED PER DAY]]/Table1[[#This Row],[WHRS RH]],1))</f>
        <v>0</v>
      </c>
      <c r="Z44" s="8"/>
      <c r="AA44" s="1"/>
      <c r="AB44" s="1"/>
      <c r="AC44" s="1"/>
      <c r="AD44" s="1"/>
      <c r="AE44" s="1"/>
      <c r="AF44" s="1">
        <f t="shared" si="1"/>
        <v>182.4</v>
      </c>
      <c r="AG44" s="1">
        <f t="shared" si="2"/>
        <v>820</v>
      </c>
      <c r="AH44" s="1" t="str">
        <f t="shared" si="3"/>
        <v/>
      </c>
      <c r="AI44" s="1" t="str">
        <f>IF(AH44="", "", SUM($AH$4:AH44))</f>
        <v/>
      </c>
      <c r="AJ44" s="9"/>
    </row>
    <row r="45" spans="1:36">
      <c r="A45" s="7"/>
      <c r="W45" s="1" t="str">
        <f>IF(Table1[[#This Row],[WHRS NET KW TOTAL]]="","", Table1[[#This Row],[WHRS NET KW TOTAL]]-U44)</f>
        <v/>
      </c>
      <c r="X45" s="6">
        <f>Table1[[#This Row],[WHRS  KW TOTAL]]-V44</f>
        <v>0</v>
      </c>
      <c r="Y45" s="6" t="b">
        <f>IF(AND(Table1[[#This Row],[WHRS KW RECOVERED PER DAY]]&lt;&gt;0,Table1[[#This Row],[WHRS RH]]&lt;&gt;0),ROUND(Table1[[#This Row],[WHRS KW RECOVERED PER DAY]]/Table1[[#This Row],[WHRS RH]],1))</f>
        <v>0</v>
      </c>
      <c r="Z45" s="8"/>
      <c r="AA45" s="1"/>
      <c r="AB45" s="1"/>
      <c r="AC45" s="1"/>
      <c r="AD45" s="1"/>
      <c r="AE45" s="1"/>
      <c r="AF45" s="1" t="str">
        <f t="shared" si="1"/>
        <v/>
      </c>
      <c r="AG45" s="1" t="str">
        <f t="shared" si="2"/>
        <v/>
      </c>
      <c r="AH45" s="1" t="str">
        <f t="shared" si="3"/>
        <v/>
      </c>
      <c r="AI45" s="1" t="str">
        <f>IF(AH45="", "", SUM($AH$4:AH45))</f>
        <v/>
      </c>
      <c r="AJ45" s="9"/>
    </row>
    <row r="46" spans="1:36">
      <c r="A46" s="7"/>
      <c r="W46" s="1" t="str">
        <f>IF(Table1[[#This Row],[WHRS NET KW TOTAL]]="","", Table1[[#This Row],[WHRS NET KW TOTAL]]-U45)</f>
        <v/>
      </c>
      <c r="X46" s="6">
        <f>Table1[[#This Row],[WHRS  KW TOTAL]]-V45</f>
        <v>0</v>
      </c>
      <c r="Y46" s="6" t="b">
        <f>IF(AND(Table1[[#This Row],[WHRS KW RECOVERED PER DAY]]&lt;&gt;0,Table1[[#This Row],[WHRS RH]]&lt;&gt;0),ROUND(Table1[[#This Row],[WHRS KW RECOVERED PER DAY]]/Table1[[#This Row],[WHRS RH]],1))</f>
        <v>0</v>
      </c>
      <c r="Z46" s="8"/>
      <c r="AA46" s="1"/>
      <c r="AB46" s="1"/>
      <c r="AC46" s="1"/>
      <c r="AD46" s="1"/>
      <c r="AE46" s="1"/>
      <c r="AF46" s="1" t="str">
        <f t="shared" si="1"/>
        <v/>
      </c>
      <c r="AG46" s="1" t="str">
        <f t="shared" si="2"/>
        <v/>
      </c>
      <c r="AH46" s="1" t="str">
        <f t="shared" si="3"/>
        <v/>
      </c>
      <c r="AI46" s="1" t="str">
        <f>IF(AH46="", "", SUM($AH$4:AH46))</f>
        <v/>
      </c>
      <c r="AJ46" s="9"/>
    </row>
    <row r="47" spans="1:36">
      <c r="A47" s="7"/>
      <c r="W47" s="1" t="str">
        <f>IF(Table1[[#This Row],[WHRS NET KW TOTAL]]="","", Table1[[#This Row],[WHRS NET KW TOTAL]]-U46)</f>
        <v/>
      </c>
      <c r="X47" s="6">
        <f>Table1[[#This Row],[WHRS  KW TOTAL]]-V46</f>
        <v>0</v>
      </c>
      <c r="Y47" s="6" t="b">
        <f>IF(AND(Table1[[#This Row],[WHRS KW RECOVERED PER DAY]]&lt;&gt;0,Table1[[#This Row],[WHRS RH]]&lt;&gt;0),ROUND(Table1[[#This Row],[WHRS KW RECOVERED PER DAY]]/Table1[[#This Row],[WHRS RH]],1))</f>
        <v>0</v>
      </c>
      <c r="Z47" s="8"/>
      <c r="AA47" s="1"/>
      <c r="AB47" s="1"/>
      <c r="AC47" s="1"/>
      <c r="AD47" s="1"/>
      <c r="AE47" s="1"/>
      <c r="AF47" s="1" t="str">
        <f t="shared" si="1"/>
        <v/>
      </c>
      <c r="AG47" s="1" t="str">
        <f t="shared" si="2"/>
        <v/>
      </c>
      <c r="AH47" s="1" t="str">
        <f t="shared" si="3"/>
        <v/>
      </c>
      <c r="AI47" s="1" t="str">
        <f>IF(AH47="", "", SUM($AH$4:AH47))</f>
        <v/>
      </c>
      <c r="AJ47" s="9"/>
    </row>
    <row r="48" spans="1:36">
      <c r="A48" s="7"/>
      <c r="W48" s="1" t="str">
        <f>IF(Table1[[#This Row],[WHRS NET KW TOTAL]]="","", Table1[[#This Row],[WHRS NET KW TOTAL]]-U47)</f>
        <v/>
      </c>
      <c r="X48" s="6">
        <f>Table1[[#This Row],[WHRS  KW TOTAL]]-V47</f>
        <v>0</v>
      </c>
      <c r="Y48" s="6" t="b">
        <f>IF(AND(Table1[[#This Row],[WHRS KW RECOVERED PER DAY]]&lt;&gt;0,Table1[[#This Row],[WHRS RH]]&lt;&gt;0),ROUND(Table1[[#This Row],[WHRS KW RECOVERED PER DAY]]/Table1[[#This Row],[WHRS RH]],1))</f>
        <v>0</v>
      </c>
      <c r="Z48" s="8"/>
      <c r="AA48" s="1"/>
      <c r="AB48" s="1"/>
      <c r="AC48" s="1"/>
      <c r="AD48" s="1"/>
      <c r="AE48" s="1"/>
      <c r="AF48" s="1" t="str">
        <f t="shared" si="1"/>
        <v/>
      </c>
      <c r="AG48" s="1" t="str">
        <f t="shared" si="2"/>
        <v/>
      </c>
      <c r="AH48" s="1" t="str">
        <f t="shared" si="3"/>
        <v/>
      </c>
      <c r="AI48" s="1" t="str">
        <f>IF(AH48="", "", SUM($AH$4:AH48))</f>
        <v/>
      </c>
      <c r="AJ48" s="9"/>
    </row>
    <row r="49" spans="1:36">
      <c r="A49" s="7"/>
      <c r="W49" s="1" t="str">
        <f>IF(Table1[[#This Row],[WHRS NET KW TOTAL]]="","", Table1[[#This Row],[WHRS NET KW TOTAL]]-U48)</f>
        <v/>
      </c>
      <c r="X49" s="6">
        <f>Table1[[#This Row],[WHRS  KW TOTAL]]-V48</f>
        <v>0</v>
      </c>
      <c r="Y49" s="6" t="b">
        <f>IF(AND(Table1[[#This Row],[WHRS KW RECOVERED PER DAY]]&lt;&gt;0,Table1[[#This Row],[WHRS RH]]&lt;&gt;0),ROUND(Table1[[#This Row],[WHRS KW RECOVERED PER DAY]]/Table1[[#This Row],[WHRS RH]],1))</f>
        <v>0</v>
      </c>
      <c r="Z49" s="8"/>
      <c r="AA49" s="1"/>
      <c r="AB49" s="1"/>
      <c r="AC49" s="1"/>
      <c r="AD49" s="1"/>
      <c r="AE49" s="1"/>
      <c r="AF49" s="1" t="str">
        <f t="shared" si="1"/>
        <v/>
      </c>
      <c r="AG49" s="1" t="str">
        <f t="shared" si="2"/>
        <v/>
      </c>
      <c r="AH49" s="1" t="str">
        <f t="shared" si="3"/>
        <v/>
      </c>
      <c r="AI49" s="1" t="str">
        <f>IF(AH49="", "", SUM($AH$4:AH49))</f>
        <v/>
      </c>
      <c r="AJ49" s="9"/>
    </row>
    <row r="50" spans="1:36">
      <c r="A50" s="7"/>
      <c r="W50" s="1" t="str">
        <f>IF(Table1[[#This Row],[WHRS NET KW TOTAL]]="","", Table1[[#This Row],[WHRS NET KW TOTAL]]-U49)</f>
        <v/>
      </c>
      <c r="X50" s="6">
        <f>Table1[[#This Row],[WHRS  KW TOTAL]]-V49</f>
        <v>0</v>
      </c>
      <c r="Y50" s="6" t="b">
        <f>IF(AND(Table1[[#This Row],[WHRS KW RECOVERED PER DAY]]&lt;&gt;0,Table1[[#This Row],[WHRS RH]]&lt;&gt;0),ROUND(Table1[[#This Row],[WHRS KW RECOVERED PER DAY]]/Table1[[#This Row],[WHRS RH]],1))</f>
        <v>0</v>
      </c>
      <c r="Z50" s="8"/>
      <c r="AA50" s="1"/>
      <c r="AB50" s="1"/>
      <c r="AC50" s="1"/>
      <c r="AD50" s="1"/>
      <c r="AE50" s="1"/>
      <c r="AF50" s="1" t="str">
        <f t="shared" si="1"/>
        <v/>
      </c>
      <c r="AG50" s="1" t="str">
        <f t="shared" si="2"/>
        <v/>
      </c>
      <c r="AH50" s="1" t="str">
        <f t="shared" si="3"/>
        <v/>
      </c>
      <c r="AI50" s="1" t="str">
        <f>IF(AH50="", "", SUM($AH$4:AH50))</f>
        <v/>
      </c>
      <c r="AJ50" s="9"/>
    </row>
    <row r="51" spans="1:36">
      <c r="A51" s="7"/>
      <c r="W51" s="1" t="str">
        <f>IF(Table1[[#This Row],[WHRS NET KW TOTAL]]="","", Table1[[#This Row],[WHRS NET KW TOTAL]]-U50)</f>
        <v/>
      </c>
      <c r="X51" s="6">
        <f>Table1[[#This Row],[WHRS  KW TOTAL]]-V50</f>
        <v>0</v>
      </c>
      <c r="Y51" s="6" t="b">
        <f>IF(AND(Table1[[#This Row],[WHRS KW RECOVERED PER DAY]]&lt;&gt;0,Table1[[#This Row],[WHRS RH]]&lt;&gt;0),ROUND(Table1[[#This Row],[WHRS KW RECOVERED PER DAY]]/Table1[[#This Row],[WHRS RH]],1))</f>
        <v>0</v>
      </c>
      <c r="Z51" s="8"/>
      <c r="AA51" s="1"/>
      <c r="AB51" s="1"/>
      <c r="AC51" s="1"/>
      <c r="AD51" s="1"/>
      <c r="AE51" s="1"/>
      <c r="AF51" s="1" t="str">
        <f t="shared" si="1"/>
        <v/>
      </c>
      <c r="AG51" s="1" t="str">
        <f t="shared" si="2"/>
        <v/>
      </c>
      <c r="AH51" s="1" t="str">
        <f t="shared" si="3"/>
        <v/>
      </c>
      <c r="AI51" s="1" t="str">
        <f>IF(AH51="", "", SUM($AH$4:AH51))</f>
        <v/>
      </c>
      <c r="AJ51" s="9"/>
    </row>
    <row r="52" spans="1:36">
      <c r="A52" s="7"/>
      <c r="W52" s="1" t="str">
        <f>IF(Table1[[#This Row],[WHRS NET KW TOTAL]]="","", Table1[[#This Row],[WHRS NET KW TOTAL]]-U51)</f>
        <v/>
      </c>
      <c r="X52" s="6">
        <f>Table1[[#This Row],[WHRS  KW TOTAL]]-V51</f>
        <v>0</v>
      </c>
      <c r="Y52" s="6" t="b">
        <f>IF(AND(Table1[[#This Row],[WHRS KW RECOVERED PER DAY]]&lt;&gt;0,Table1[[#This Row],[WHRS RH]]&lt;&gt;0),ROUND(Table1[[#This Row],[WHRS KW RECOVERED PER DAY]]/Table1[[#This Row],[WHRS RH]],1))</f>
        <v>0</v>
      </c>
      <c r="Z52" s="8"/>
      <c r="AA52" s="1"/>
      <c r="AB52" s="1"/>
      <c r="AC52" s="1"/>
      <c r="AD52" s="1"/>
      <c r="AE52" s="1"/>
      <c r="AF52" s="1" t="str">
        <f t="shared" si="1"/>
        <v/>
      </c>
      <c r="AG52" s="1" t="str">
        <f t="shared" si="2"/>
        <v/>
      </c>
      <c r="AH52" s="1" t="str">
        <f t="shared" si="3"/>
        <v/>
      </c>
      <c r="AI52" s="1" t="str">
        <f>IF(AH52="", "", SUM($AH$4:AH52))</f>
        <v/>
      </c>
      <c r="AJ52" s="9"/>
    </row>
    <row r="53" spans="1:36">
      <c r="A53" s="7"/>
      <c r="W53" s="1" t="str">
        <f>IF(Table1[[#This Row],[WHRS NET KW TOTAL]]="","", Table1[[#This Row],[WHRS NET KW TOTAL]]-U52)</f>
        <v/>
      </c>
      <c r="X53" s="6">
        <f>Table1[[#This Row],[WHRS  KW TOTAL]]-V52</f>
        <v>0</v>
      </c>
      <c r="Y53" s="6" t="b">
        <f>IF(AND(Table1[[#This Row],[WHRS KW RECOVERED PER DAY]]&lt;&gt;0,Table1[[#This Row],[WHRS RH]]&lt;&gt;0),ROUND(Table1[[#This Row],[WHRS KW RECOVERED PER DAY]]/Table1[[#This Row],[WHRS RH]],1))</f>
        <v>0</v>
      </c>
      <c r="Z53" s="8"/>
      <c r="AA53" s="1"/>
      <c r="AB53" s="1"/>
      <c r="AC53" s="1"/>
      <c r="AD53" s="1"/>
      <c r="AE53" s="1"/>
      <c r="AF53" s="1" t="str">
        <f t="shared" si="1"/>
        <v/>
      </c>
      <c r="AG53" s="1" t="str">
        <f t="shared" si="2"/>
        <v/>
      </c>
      <c r="AH53" s="1" t="str">
        <f t="shared" si="3"/>
        <v/>
      </c>
      <c r="AI53" s="1" t="str">
        <f>IF(AH53="", "", SUM($AH$4:AH53))</f>
        <v/>
      </c>
      <c r="AJ53" s="9"/>
    </row>
    <row r="54" spans="1:36">
      <c r="A54" s="7"/>
      <c r="W54" s="1" t="str">
        <f>IF(Table1[[#This Row],[WHRS NET KW TOTAL]]="","", Table1[[#This Row],[WHRS NET KW TOTAL]]-U53)</f>
        <v/>
      </c>
      <c r="X54" s="6">
        <f>Table1[[#This Row],[WHRS  KW TOTAL]]-V53</f>
        <v>0</v>
      </c>
      <c r="Y54" s="6" t="b">
        <f>IF(AND(Table1[[#This Row],[WHRS KW RECOVERED PER DAY]]&lt;&gt;0,Table1[[#This Row],[WHRS RH]]&lt;&gt;0),ROUND(Table1[[#This Row],[WHRS KW RECOVERED PER DAY]]/Table1[[#This Row],[WHRS RH]],1))</f>
        <v>0</v>
      </c>
      <c r="Z54" s="8"/>
      <c r="AA54" s="1"/>
      <c r="AB54" s="1"/>
      <c r="AC54" s="1"/>
      <c r="AD54" s="1"/>
      <c r="AE54" s="1"/>
      <c r="AF54" s="1" t="str">
        <f t="shared" si="1"/>
        <v/>
      </c>
      <c r="AG54" s="1" t="str">
        <f t="shared" si="2"/>
        <v/>
      </c>
      <c r="AH54" s="1" t="str">
        <f t="shared" si="3"/>
        <v/>
      </c>
      <c r="AI54" s="1" t="str">
        <f>IF(AH54="", "", SUM($AH$4:AH54))</f>
        <v/>
      </c>
      <c r="AJ54" s="9"/>
    </row>
    <row r="55" spans="1:36">
      <c r="A55" s="7"/>
      <c r="W55" s="1" t="str">
        <f>IF(Table1[[#This Row],[WHRS NET KW TOTAL]]="","", Table1[[#This Row],[WHRS NET KW TOTAL]]-U54)</f>
        <v/>
      </c>
      <c r="X55" s="6">
        <f>Table1[[#This Row],[WHRS  KW TOTAL]]-V54</f>
        <v>0</v>
      </c>
      <c r="Y55" s="6" t="b">
        <f>IF(AND(Table1[[#This Row],[WHRS KW RECOVERED PER DAY]]&lt;&gt;0,Table1[[#This Row],[WHRS RH]]&lt;&gt;0),ROUND(Table1[[#This Row],[WHRS KW RECOVERED PER DAY]]/Table1[[#This Row],[WHRS RH]],1))</f>
        <v>0</v>
      </c>
      <c r="Z55" s="8"/>
      <c r="AA55" s="1"/>
      <c r="AB55" s="1"/>
      <c r="AC55" s="1"/>
      <c r="AD55" s="1"/>
      <c r="AE55" s="1"/>
      <c r="AF55" s="1" t="str">
        <f t="shared" si="1"/>
        <v/>
      </c>
      <c r="AG55" s="1" t="str">
        <f t="shared" si="2"/>
        <v/>
      </c>
      <c r="AH55" s="1" t="str">
        <f t="shared" si="3"/>
        <v/>
      </c>
      <c r="AI55" s="1" t="str">
        <f>IF(AH55="", "", SUM($AH$4:AH55))</f>
        <v/>
      </c>
      <c r="AJ55" s="9"/>
    </row>
    <row r="56" spans="1:36">
      <c r="A56" s="7"/>
      <c r="W56" s="1" t="str">
        <f>IF(Table1[[#This Row],[WHRS NET KW TOTAL]]="","", Table1[[#This Row],[WHRS NET KW TOTAL]]-U55)</f>
        <v/>
      </c>
      <c r="X56" s="6">
        <f>Table1[[#This Row],[WHRS  KW TOTAL]]-V55</f>
        <v>0</v>
      </c>
      <c r="Y56" s="6" t="b">
        <f>IF(AND(Table1[[#This Row],[WHRS KW RECOVERED PER DAY]]&lt;&gt;0,Table1[[#This Row],[WHRS RH]]&lt;&gt;0),ROUND(Table1[[#This Row],[WHRS KW RECOVERED PER DAY]]/Table1[[#This Row],[WHRS RH]],1))</f>
        <v>0</v>
      </c>
      <c r="Z56" s="8"/>
      <c r="AA56" s="1"/>
      <c r="AB56" s="1"/>
      <c r="AC56" s="1"/>
      <c r="AD56" s="1"/>
      <c r="AE56" s="1"/>
      <c r="AF56" s="1" t="str">
        <f t="shared" si="1"/>
        <v/>
      </c>
      <c r="AG56" s="1" t="str">
        <f t="shared" si="2"/>
        <v/>
      </c>
      <c r="AH56" s="1" t="str">
        <f t="shared" si="3"/>
        <v/>
      </c>
      <c r="AI56" s="1" t="str">
        <f>IF(AH56="", "", SUM($AH$4:AH56))</f>
        <v/>
      </c>
      <c r="AJ56" s="9"/>
    </row>
    <row r="57" spans="1:36">
      <c r="A57" s="7"/>
      <c r="W57" s="1" t="str">
        <f>IF(Table1[[#This Row],[WHRS NET KW TOTAL]]="","", Table1[[#This Row],[WHRS NET KW TOTAL]]-U56)</f>
        <v/>
      </c>
      <c r="X57" s="6">
        <f>Table1[[#This Row],[WHRS  KW TOTAL]]-V56</f>
        <v>0</v>
      </c>
      <c r="Y57" s="6" t="b">
        <f>IF(AND(Table1[[#This Row],[WHRS KW RECOVERED PER DAY]]&lt;&gt;0,Table1[[#This Row],[WHRS RH]]&lt;&gt;0),ROUND(Table1[[#This Row],[WHRS KW RECOVERED PER DAY]]/Table1[[#This Row],[WHRS RH]],1))</f>
        <v>0</v>
      </c>
      <c r="Z57" s="8"/>
      <c r="AA57" s="1"/>
      <c r="AB57" s="1"/>
      <c r="AC57" s="1"/>
      <c r="AD57" s="1"/>
      <c r="AE57" s="1"/>
      <c r="AF57" s="1" t="str">
        <f t="shared" si="1"/>
        <v/>
      </c>
      <c r="AG57" s="1" t="str">
        <f t="shared" si="2"/>
        <v/>
      </c>
      <c r="AH57" s="1" t="str">
        <f t="shared" si="3"/>
        <v/>
      </c>
      <c r="AI57" s="1" t="str">
        <f>IF(AH57="", "", SUM($AH$4:AH57))</f>
        <v/>
      </c>
      <c r="AJ57" s="9"/>
    </row>
    <row r="58" spans="1:36">
      <c r="A58" s="7"/>
      <c r="W58" s="1" t="str">
        <f>IF(Table1[[#This Row],[WHRS NET KW TOTAL]]="","", Table1[[#This Row],[WHRS NET KW TOTAL]]-U57)</f>
        <v/>
      </c>
      <c r="X58" s="6">
        <f>Table1[[#This Row],[WHRS  KW TOTAL]]-V57</f>
        <v>0</v>
      </c>
      <c r="Y58" s="6" t="b">
        <f>IF(AND(Table1[[#This Row],[WHRS KW RECOVERED PER DAY]]&lt;&gt;0,Table1[[#This Row],[WHRS RH]]&lt;&gt;0),ROUND(Table1[[#This Row],[WHRS KW RECOVERED PER DAY]]/Table1[[#This Row],[WHRS RH]],1))</f>
        <v>0</v>
      </c>
      <c r="Z58" s="8"/>
      <c r="AA58" s="1"/>
      <c r="AB58" s="1"/>
      <c r="AC58" s="1"/>
      <c r="AD58" s="1"/>
      <c r="AE58" s="1"/>
      <c r="AF58" s="1" t="str">
        <f t="shared" si="1"/>
        <v/>
      </c>
      <c r="AG58" s="1" t="str">
        <f t="shared" si="2"/>
        <v/>
      </c>
      <c r="AH58" s="1" t="str">
        <f t="shared" si="3"/>
        <v/>
      </c>
      <c r="AI58" s="1" t="str">
        <f>IF(AH58="", "", SUM($AH$4:AH58))</f>
        <v/>
      </c>
      <c r="AJ58" s="9"/>
    </row>
    <row r="59" spans="1:36">
      <c r="A59" s="7"/>
      <c r="W59" s="1" t="str">
        <f>IF(Table1[[#This Row],[WHRS NET KW TOTAL]]="","", Table1[[#This Row],[WHRS NET KW TOTAL]]-U58)</f>
        <v/>
      </c>
      <c r="X59" s="6">
        <f>Table1[[#This Row],[WHRS  KW TOTAL]]-V58</f>
        <v>0</v>
      </c>
      <c r="Y59" s="6" t="b">
        <f>IF(AND(Table1[[#This Row],[WHRS KW RECOVERED PER DAY]]&lt;&gt;0,Table1[[#This Row],[WHRS RH]]&lt;&gt;0),ROUND(Table1[[#This Row],[WHRS KW RECOVERED PER DAY]]/Table1[[#This Row],[WHRS RH]],1))</f>
        <v>0</v>
      </c>
      <c r="Z59" s="8"/>
      <c r="AA59" s="1"/>
      <c r="AB59" s="1"/>
      <c r="AC59" s="1"/>
      <c r="AD59" s="1"/>
      <c r="AE59" s="1"/>
      <c r="AF59" s="1" t="str">
        <f t="shared" si="1"/>
        <v/>
      </c>
      <c r="AG59" s="1" t="str">
        <f t="shared" si="2"/>
        <v/>
      </c>
      <c r="AH59" s="1" t="str">
        <f t="shared" si="3"/>
        <v/>
      </c>
      <c r="AI59" s="1" t="str">
        <f>IF(AH59="", "", SUM($AH$4:AH59))</f>
        <v/>
      </c>
      <c r="AJ59" s="9"/>
    </row>
    <row r="60" spans="1:36">
      <c r="A60" s="7"/>
      <c r="W60" s="1" t="str">
        <f>IF(Table1[[#This Row],[WHRS NET KW TOTAL]]="","", Table1[[#This Row],[WHRS NET KW TOTAL]]-U59)</f>
        <v/>
      </c>
      <c r="X60" s="6">
        <f>Table1[[#This Row],[WHRS  KW TOTAL]]-V59</f>
        <v>0</v>
      </c>
      <c r="Y60" s="6" t="b">
        <f>IF(AND(Table1[[#This Row],[WHRS KW RECOVERED PER DAY]]&lt;&gt;0,Table1[[#This Row],[WHRS RH]]&lt;&gt;0),ROUND(Table1[[#This Row],[WHRS KW RECOVERED PER DAY]]/Table1[[#This Row],[WHRS RH]],1))</f>
        <v>0</v>
      </c>
      <c r="Z60" s="8"/>
      <c r="AA60" s="1"/>
      <c r="AB60" s="1"/>
      <c r="AC60" s="1"/>
      <c r="AD60" s="1"/>
      <c r="AE60" s="1"/>
      <c r="AF60" s="1" t="str">
        <f t="shared" si="1"/>
        <v/>
      </c>
      <c r="AG60" s="1" t="str">
        <f t="shared" si="2"/>
        <v/>
      </c>
      <c r="AH60" s="1" t="str">
        <f t="shared" si="3"/>
        <v/>
      </c>
      <c r="AI60" s="1" t="str">
        <f>IF(AH60="", "", SUM($AH$4:AH60))</f>
        <v/>
      </c>
      <c r="AJ60" s="9"/>
    </row>
    <row r="61" spans="1:36">
      <c r="A61" s="7"/>
      <c r="W61" s="1" t="str">
        <f>IF(Table1[[#This Row],[WHRS NET KW TOTAL]]="","", Table1[[#This Row],[WHRS NET KW TOTAL]]-U60)</f>
        <v/>
      </c>
      <c r="X61" s="6">
        <f>Table1[[#This Row],[WHRS  KW TOTAL]]-V60</f>
        <v>0</v>
      </c>
      <c r="Y61" s="6" t="b">
        <f>IF(AND(Table1[[#This Row],[WHRS KW RECOVERED PER DAY]]&lt;&gt;0,Table1[[#This Row],[WHRS RH]]&lt;&gt;0),ROUND(Table1[[#This Row],[WHRS KW RECOVERED PER DAY]]/Table1[[#This Row],[WHRS RH]],1))</f>
        <v>0</v>
      </c>
      <c r="Z61" s="8"/>
      <c r="AA61" s="1"/>
      <c r="AB61" s="1"/>
      <c r="AC61" s="1"/>
      <c r="AD61" s="1"/>
      <c r="AE61" s="1"/>
      <c r="AF61" s="1" t="str">
        <f t="shared" si="1"/>
        <v/>
      </c>
      <c r="AG61" s="1" t="str">
        <f t="shared" si="2"/>
        <v/>
      </c>
      <c r="AH61" s="1" t="str">
        <f t="shared" si="3"/>
        <v/>
      </c>
      <c r="AI61" s="1" t="str">
        <f>IF(AH61="", "", SUM($AH$4:AH61))</f>
        <v/>
      </c>
      <c r="AJ61" s="9"/>
    </row>
    <row r="62" spans="1:36">
      <c r="A62" s="7"/>
      <c r="W62" s="1" t="str">
        <f>IF(Table1[[#This Row],[WHRS NET KW TOTAL]]="","", Table1[[#This Row],[WHRS NET KW TOTAL]]-U61)</f>
        <v/>
      </c>
      <c r="X62" s="6">
        <f>Table1[[#This Row],[WHRS  KW TOTAL]]-V61</f>
        <v>0</v>
      </c>
      <c r="Y62" s="6" t="b">
        <f>IF(AND(Table1[[#This Row],[WHRS KW RECOVERED PER DAY]]&lt;&gt;0,Table1[[#This Row],[WHRS RH]]&lt;&gt;0),ROUND(Table1[[#This Row],[WHRS KW RECOVERED PER DAY]]/Table1[[#This Row],[WHRS RH]],1))</f>
        <v>0</v>
      </c>
      <c r="Z62" s="8"/>
      <c r="AA62" s="1"/>
      <c r="AB62" s="1"/>
      <c r="AC62" s="1"/>
      <c r="AD62" s="1"/>
      <c r="AE62" s="1"/>
      <c r="AF62" s="1" t="str">
        <f t="shared" si="1"/>
        <v/>
      </c>
      <c r="AG62" s="1" t="str">
        <f t="shared" si="2"/>
        <v/>
      </c>
      <c r="AH62" s="1" t="str">
        <f t="shared" si="3"/>
        <v/>
      </c>
      <c r="AI62" s="1" t="str">
        <f>IF(AH62="", "", SUM($AH$4:AH62))</f>
        <v/>
      </c>
      <c r="AJ62" s="9"/>
    </row>
    <row r="63" spans="1:36">
      <c r="A63" s="7"/>
      <c r="W63" s="1" t="str">
        <f>IF(Table1[[#This Row],[WHRS NET KW TOTAL]]="","", Table1[[#This Row],[WHRS NET KW TOTAL]]-U62)</f>
        <v/>
      </c>
      <c r="X63" s="6">
        <f>Table1[[#This Row],[WHRS  KW TOTAL]]-V62</f>
        <v>0</v>
      </c>
      <c r="Y63" s="6" t="b">
        <f>IF(AND(Table1[[#This Row],[WHRS KW RECOVERED PER DAY]]&lt;&gt;0,Table1[[#This Row],[WHRS RH]]&lt;&gt;0),ROUND(Table1[[#This Row],[WHRS KW RECOVERED PER DAY]]/Table1[[#This Row],[WHRS RH]],1))</f>
        <v>0</v>
      </c>
      <c r="Z63" s="8"/>
      <c r="AA63" s="1"/>
      <c r="AB63" s="1"/>
      <c r="AC63" s="1"/>
      <c r="AD63" s="1"/>
      <c r="AE63" s="1"/>
      <c r="AF63" s="1" t="str">
        <f t="shared" si="1"/>
        <v/>
      </c>
      <c r="AG63" s="1" t="str">
        <f t="shared" si="2"/>
        <v/>
      </c>
      <c r="AH63" s="1" t="str">
        <f t="shared" si="3"/>
        <v/>
      </c>
      <c r="AI63" s="1" t="str">
        <f>IF(AH63="", "", SUM($AH$4:AH63))</f>
        <v/>
      </c>
      <c r="AJ63" s="9"/>
    </row>
    <row r="64" spans="1:36">
      <c r="A64" s="7"/>
      <c r="W64" s="1" t="str">
        <f>IF(Table1[[#This Row],[WHRS NET KW TOTAL]]="","", Table1[[#This Row],[WHRS NET KW TOTAL]]-U63)</f>
        <v/>
      </c>
      <c r="X64" s="6">
        <f>Table1[[#This Row],[WHRS  KW TOTAL]]-V63</f>
        <v>0</v>
      </c>
      <c r="Y64" s="6" t="b">
        <f>IF(AND(Table1[[#This Row],[WHRS KW RECOVERED PER DAY]]&lt;&gt;0,Table1[[#This Row],[WHRS RH]]&lt;&gt;0),ROUND(Table1[[#This Row],[WHRS KW RECOVERED PER DAY]]/Table1[[#This Row],[WHRS RH]],1))</f>
        <v>0</v>
      </c>
      <c r="Z64" s="8"/>
      <c r="AA64" s="1"/>
      <c r="AB64" s="1"/>
      <c r="AC64" s="1"/>
      <c r="AD64" s="1"/>
      <c r="AE64" s="1"/>
      <c r="AF64" s="1" t="str">
        <f t="shared" si="1"/>
        <v/>
      </c>
      <c r="AG64" s="1" t="str">
        <f t="shared" si="2"/>
        <v/>
      </c>
      <c r="AH64" s="1" t="str">
        <f t="shared" si="3"/>
        <v/>
      </c>
      <c r="AI64" s="1" t="str">
        <f>IF(AH64="", "", SUM($AH$4:AH64))</f>
        <v/>
      </c>
      <c r="AJ64" s="9"/>
    </row>
    <row r="65" spans="1:36">
      <c r="A65" s="7"/>
      <c r="W65" s="1" t="str">
        <f>IF(Table1[[#This Row],[WHRS NET KW TOTAL]]="","", Table1[[#This Row],[WHRS NET KW TOTAL]]-U64)</f>
        <v/>
      </c>
      <c r="X65" s="6">
        <f>Table1[[#This Row],[WHRS  KW TOTAL]]-V64</f>
        <v>0</v>
      </c>
      <c r="Y65" s="6" t="b">
        <f>IF(AND(Table1[[#This Row],[WHRS KW RECOVERED PER DAY]]&lt;&gt;0,Table1[[#This Row],[WHRS RH]]&lt;&gt;0),ROUND(Table1[[#This Row],[WHRS KW RECOVERED PER DAY]]/Table1[[#This Row],[WHRS RH]],1))</f>
        <v>0</v>
      </c>
      <c r="Z65" s="8"/>
      <c r="AA65" s="1"/>
      <c r="AB65" s="1"/>
      <c r="AC65" s="1"/>
      <c r="AD65" s="1"/>
      <c r="AE65" s="1"/>
      <c r="AF65" s="1" t="str">
        <f t="shared" si="1"/>
        <v/>
      </c>
      <c r="AG65" s="1" t="str">
        <f t="shared" si="2"/>
        <v/>
      </c>
      <c r="AH65" s="1" t="str">
        <f t="shared" si="3"/>
        <v/>
      </c>
      <c r="AI65" s="1" t="str">
        <f>IF(AH65="", "", SUM($AH$4:AH65))</f>
        <v/>
      </c>
      <c r="AJ65" s="9"/>
    </row>
    <row r="66" spans="1:36">
      <c r="A66" s="7"/>
      <c r="W66" s="1" t="str">
        <f>IF(Table1[[#This Row],[WHRS NET KW TOTAL]]="","", Table1[[#This Row],[WHRS NET KW TOTAL]]-U65)</f>
        <v/>
      </c>
      <c r="X66" s="6">
        <f>Table1[[#This Row],[WHRS  KW TOTAL]]-V65</f>
        <v>0</v>
      </c>
      <c r="Y66" s="6" t="b">
        <f>IF(AND(Table1[[#This Row],[WHRS KW RECOVERED PER DAY]]&lt;&gt;0,Table1[[#This Row],[WHRS RH]]&lt;&gt;0),ROUND(Table1[[#This Row],[WHRS KW RECOVERED PER DAY]]/Table1[[#This Row],[WHRS RH]],1))</f>
        <v>0</v>
      </c>
      <c r="Z66" s="8"/>
      <c r="AA66" s="1"/>
      <c r="AB66" s="1"/>
      <c r="AC66" s="1"/>
      <c r="AD66" s="1"/>
      <c r="AE66" s="1"/>
      <c r="AF66" s="1" t="str">
        <f t="shared" si="1"/>
        <v/>
      </c>
      <c r="AG66" s="1" t="str">
        <f t="shared" si="2"/>
        <v/>
      </c>
      <c r="AH66" s="1" t="str">
        <f t="shared" si="3"/>
        <v/>
      </c>
      <c r="AI66" s="1" t="str">
        <f>IF(AH66="", "", SUM($AH$4:AH66))</f>
        <v/>
      </c>
      <c r="AJ66" s="9"/>
    </row>
    <row r="67" spans="1:36">
      <c r="A67" s="7"/>
      <c r="W67" s="1" t="str">
        <f>IF(Table1[[#This Row],[WHRS NET KW TOTAL]]="","", Table1[[#This Row],[WHRS NET KW TOTAL]]-U66)</f>
        <v/>
      </c>
      <c r="X67" s="6">
        <f>Table1[[#This Row],[WHRS  KW TOTAL]]-V66</f>
        <v>0</v>
      </c>
      <c r="Y67" s="6" t="b">
        <f>IF(AND(Table1[[#This Row],[WHRS KW RECOVERED PER DAY]]&lt;&gt;0,Table1[[#This Row],[WHRS RH]]&lt;&gt;0),ROUND(Table1[[#This Row],[WHRS KW RECOVERED PER DAY]]/Table1[[#This Row],[WHRS RH]],1))</f>
        <v>0</v>
      </c>
      <c r="Z67" s="8"/>
      <c r="AA67" s="1"/>
      <c r="AB67" s="1"/>
      <c r="AC67" s="1"/>
      <c r="AD67" s="1"/>
      <c r="AE67" s="1"/>
      <c r="AF67" s="1" t="str">
        <f t="shared" si="1"/>
        <v/>
      </c>
      <c r="AG67" s="1" t="str">
        <f t="shared" si="2"/>
        <v/>
      </c>
      <c r="AH67" s="1" t="str">
        <f t="shared" si="3"/>
        <v/>
      </c>
      <c r="AI67" s="1" t="str">
        <f>IF(AH67="", "", SUM($AH$4:AH67))</f>
        <v/>
      </c>
      <c r="AJ67" s="9"/>
    </row>
    <row r="68" spans="1:36">
      <c r="A68" s="7"/>
      <c r="W68" s="1" t="str">
        <f>IF(Table1[[#This Row],[WHRS NET KW TOTAL]]="","", Table1[[#This Row],[WHRS NET KW TOTAL]]-U67)</f>
        <v/>
      </c>
      <c r="X68" s="6">
        <f>Table1[[#This Row],[WHRS  KW TOTAL]]-V67</f>
        <v>0</v>
      </c>
      <c r="Y68" s="6" t="b">
        <f>IF(AND(Table1[[#This Row],[WHRS KW RECOVERED PER DAY]]&lt;&gt;0,Table1[[#This Row],[WHRS RH]]&lt;&gt;0),ROUND(Table1[[#This Row],[WHRS KW RECOVERED PER DAY]]/Table1[[#This Row],[WHRS RH]],1))</f>
        <v>0</v>
      </c>
      <c r="Z68" s="8"/>
      <c r="AA68" s="1"/>
      <c r="AB68" s="1"/>
      <c r="AC68" s="1"/>
      <c r="AD68" s="1"/>
      <c r="AE68" s="1"/>
      <c r="AF68" s="1" t="str">
        <f t="shared" si="1"/>
        <v/>
      </c>
      <c r="AG68" s="1" t="str">
        <f t="shared" si="2"/>
        <v/>
      </c>
      <c r="AH68" s="1" t="str">
        <f t="shared" si="3"/>
        <v/>
      </c>
      <c r="AI68" s="1" t="str">
        <f>IF(AH68="", "", SUM($AH$4:AH68))</f>
        <v/>
      </c>
      <c r="AJ68" s="9"/>
    </row>
    <row r="69" spans="1:36">
      <c r="A69" s="7"/>
      <c r="W69" s="1" t="str">
        <f>IF(Table1[[#This Row],[WHRS NET KW TOTAL]]="","", Table1[[#This Row],[WHRS NET KW TOTAL]]-U68)</f>
        <v/>
      </c>
      <c r="X69" s="6">
        <f>Table1[[#This Row],[WHRS  KW TOTAL]]-V68</f>
        <v>0</v>
      </c>
      <c r="Y69" s="6" t="b">
        <f>IF(AND(Table1[[#This Row],[WHRS KW RECOVERED PER DAY]]&lt;&gt;0,Table1[[#This Row],[WHRS RH]]&lt;&gt;0),ROUND(Table1[[#This Row],[WHRS KW RECOVERED PER DAY]]/Table1[[#This Row],[WHRS RH]],1))</f>
        <v>0</v>
      </c>
      <c r="Z69" s="8"/>
      <c r="AA69" s="1"/>
      <c r="AB69" s="1"/>
      <c r="AC69" s="1"/>
      <c r="AD69" s="1"/>
      <c r="AE69" s="1"/>
      <c r="AF69" s="1" t="str">
        <f t="shared" ref="AF69:AF132" si="5">IF(TRIM(C69)="", "", IF(TRIM(C69)="LNG", 192.1, 182.4))</f>
        <v/>
      </c>
      <c r="AG69" s="1" t="str">
        <f t="shared" ref="AG69:AG132" si="6">IF(C69="", "", _xlfn.IFS(C69="LNG", 1345, C69="LSMGO", 1280, C69="VLSFO", 820, C69="HSFO", 635, TRUE, ""))</f>
        <v/>
      </c>
      <c r="AH69" s="1" t="str">
        <f t="shared" ref="AH69:AH132" si="7">IF(OR(W69="", AF69="", AG69=""), "", W69 * (AF69 / 1000000) * AG69)</f>
        <v/>
      </c>
      <c r="AI69" s="1" t="str">
        <f>IF(AH69="", "", SUM($AH$4:AH69))</f>
        <v/>
      </c>
      <c r="AJ69" s="9"/>
    </row>
    <row r="70" spans="1:36">
      <c r="A70" s="7"/>
      <c r="W70" s="1" t="str">
        <f>IF(Table1[[#This Row],[WHRS NET KW TOTAL]]="","", Table1[[#This Row],[WHRS NET KW TOTAL]]-U69)</f>
        <v/>
      </c>
      <c r="X70" s="6">
        <f>Table1[[#This Row],[WHRS  KW TOTAL]]-V69</f>
        <v>0</v>
      </c>
      <c r="Y70" s="6" t="b">
        <f>IF(AND(Table1[[#This Row],[WHRS KW RECOVERED PER DAY]]&lt;&gt;0,Table1[[#This Row],[WHRS RH]]&lt;&gt;0),ROUND(Table1[[#This Row],[WHRS KW RECOVERED PER DAY]]/Table1[[#This Row],[WHRS RH]],1))</f>
        <v>0</v>
      </c>
      <c r="Z70" s="8"/>
      <c r="AA70" s="1"/>
      <c r="AB70" s="1"/>
      <c r="AC70" s="1"/>
      <c r="AD70" s="1"/>
      <c r="AE70" s="1"/>
      <c r="AF70" s="1" t="str">
        <f t="shared" si="5"/>
        <v/>
      </c>
      <c r="AG70" s="1" t="str">
        <f t="shared" si="6"/>
        <v/>
      </c>
      <c r="AH70" s="1" t="str">
        <f t="shared" si="7"/>
        <v/>
      </c>
      <c r="AI70" s="1" t="str">
        <f>IF(AH70="", "", SUM($AH$4:AH70))</f>
        <v/>
      </c>
      <c r="AJ70" s="9"/>
    </row>
    <row r="71" spans="1:36">
      <c r="A71" s="7"/>
      <c r="W71" s="1" t="str">
        <f>IF(Table1[[#This Row],[WHRS NET KW TOTAL]]="","", Table1[[#This Row],[WHRS NET KW TOTAL]]-U70)</f>
        <v/>
      </c>
      <c r="X71" s="6">
        <f>Table1[[#This Row],[WHRS  KW TOTAL]]-V70</f>
        <v>0</v>
      </c>
      <c r="Y71" s="6" t="b">
        <f>IF(AND(Table1[[#This Row],[WHRS KW RECOVERED PER DAY]]&lt;&gt;0,Table1[[#This Row],[WHRS RH]]&lt;&gt;0),ROUND(Table1[[#This Row],[WHRS KW RECOVERED PER DAY]]/Table1[[#This Row],[WHRS RH]],1))</f>
        <v>0</v>
      </c>
      <c r="Z71" s="8"/>
      <c r="AA71" s="1"/>
      <c r="AB71" s="1"/>
      <c r="AC71" s="1"/>
      <c r="AD71" s="1"/>
      <c r="AE71" s="1"/>
      <c r="AF71" s="1" t="str">
        <f t="shared" si="5"/>
        <v/>
      </c>
      <c r="AG71" s="1" t="str">
        <f t="shared" si="6"/>
        <v/>
      </c>
      <c r="AH71" s="1" t="str">
        <f t="shared" si="7"/>
        <v/>
      </c>
      <c r="AI71" s="1" t="str">
        <f>IF(AH71="", "", SUM($AH$4:AH71))</f>
        <v/>
      </c>
      <c r="AJ71" s="9"/>
    </row>
    <row r="72" spans="1:36">
      <c r="A72" s="7"/>
      <c r="W72" s="1" t="str">
        <f>IF(Table1[[#This Row],[WHRS NET KW TOTAL]]="","", Table1[[#This Row],[WHRS NET KW TOTAL]]-U71)</f>
        <v/>
      </c>
      <c r="X72" s="6">
        <f>Table1[[#This Row],[WHRS  KW TOTAL]]-V71</f>
        <v>0</v>
      </c>
      <c r="Y72" s="6" t="b">
        <f>IF(AND(Table1[[#This Row],[WHRS KW RECOVERED PER DAY]]&lt;&gt;0,Table1[[#This Row],[WHRS RH]]&lt;&gt;0),ROUND(Table1[[#This Row],[WHRS KW RECOVERED PER DAY]]/Table1[[#This Row],[WHRS RH]],1))</f>
        <v>0</v>
      </c>
      <c r="Z72" s="8"/>
      <c r="AA72" s="1"/>
      <c r="AB72" s="1"/>
      <c r="AC72" s="1"/>
      <c r="AD72" s="1"/>
      <c r="AE72" s="1"/>
      <c r="AF72" s="1" t="str">
        <f t="shared" si="5"/>
        <v/>
      </c>
      <c r="AG72" s="1" t="str">
        <f t="shared" si="6"/>
        <v/>
      </c>
      <c r="AH72" s="1" t="str">
        <f t="shared" si="7"/>
        <v/>
      </c>
      <c r="AI72" s="1" t="str">
        <f>IF(AH72="", "", SUM($AH$4:AH72))</f>
        <v/>
      </c>
      <c r="AJ72" s="9"/>
    </row>
    <row r="73" spans="1:36">
      <c r="A73" s="7"/>
      <c r="W73" s="1" t="str">
        <f>IF(Table1[[#This Row],[WHRS NET KW TOTAL]]="","", Table1[[#This Row],[WHRS NET KW TOTAL]]-U72)</f>
        <v/>
      </c>
      <c r="X73" s="6">
        <f>Table1[[#This Row],[WHRS  KW TOTAL]]-V72</f>
        <v>0</v>
      </c>
      <c r="Y73" s="6" t="b">
        <f>IF(AND(Table1[[#This Row],[WHRS KW RECOVERED PER DAY]]&lt;&gt;0,Table1[[#This Row],[WHRS RH]]&lt;&gt;0),ROUND(Table1[[#This Row],[WHRS KW RECOVERED PER DAY]]/Table1[[#This Row],[WHRS RH]],1))</f>
        <v>0</v>
      </c>
      <c r="Z73" s="8"/>
      <c r="AA73" s="1"/>
      <c r="AB73" s="1"/>
      <c r="AC73" s="1"/>
      <c r="AD73" s="1"/>
      <c r="AE73" s="1"/>
      <c r="AF73" s="1" t="str">
        <f t="shared" si="5"/>
        <v/>
      </c>
      <c r="AG73" s="1" t="str">
        <f t="shared" si="6"/>
        <v/>
      </c>
      <c r="AH73" s="1" t="str">
        <f t="shared" si="7"/>
        <v/>
      </c>
      <c r="AI73" s="1" t="str">
        <f>IF(AH73="", "", SUM($AH$4:AH73))</f>
        <v/>
      </c>
      <c r="AJ73" s="9"/>
    </row>
    <row r="74" spans="1:36">
      <c r="A74" s="7"/>
      <c r="W74" s="1" t="str">
        <f>IF(Table1[[#This Row],[WHRS NET KW TOTAL]]="","", Table1[[#This Row],[WHRS NET KW TOTAL]]-U73)</f>
        <v/>
      </c>
      <c r="X74" s="6">
        <f>Table1[[#This Row],[WHRS  KW TOTAL]]-V73</f>
        <v>0</v>
      </c>
      <c r="Y74" s="6" t="b">
        <f>IF(AND(Table1[[#This Row],[WHRS KW RECOVERED PER DAY]]&lt;&gt;0,Table1[[#This Row],[WHRS RH]]&lt;&gt;0),ROUND(Table1[[#This Row],[WHRS KW RECOVERED PER DAY]]/Table1[[#This Row],[WHRS RH]],1))</f>
        <v>0</v>
      </c>
      <c r="Z74" s="8"/>
      <c r="AA74" s="1"/>
      <c r="AB74" s="1"/>
      <c r="AC74" s="1"/>
      <c r="AD74" s="1"/>
      <c r="AE74" s="1"/>
      <c r="AF74" s="1" t="str">
        <f t="shared" si="5"/>
        <v/>
      </c>
      <c r="AG74" s="1" t="str">
        <f t="shared" si="6"/>
        <v/>
      </c>
      <c r="AH74" s="1" t="str">
        <f t="shared" si="7"/>
        <v/>
      </c>
      <c r="AI74" s="1" t="str">
        <f>IF(AH74="", "", SUM($AH$4:AH74))</f>
        <v/>
      </c>
      <c r="AJ74" s="9"/>
    </row>
    <row r="75" spans="1:36">
      <c r="A75" s="7"/>
      <c r="W75" s="1" t="str">
        <f>IF(Table1[[#This Row],[WHRS NET KW TOTAL]]="","", Table1[[#This Row],[WHRS NET KW TOTAL]]-U74)</f>
        <v/>
      </c>
      <c r="X75" s="6">
        <f>Table1[[#This Row],[WHRS  KW TOTAL]]-V74</f>
        <v>0</v>
      </c>
      <c r="Y75" s="6" t="b">
        <f>IF(AND(Table1[[#This Row],[WHRS KW RECOVERED PER DAY]]&lt;&gt;0,Table1[[#This Row],[WHRS RH]]&lt;&gt;0),ROUND(Table1[[#This Row],[WHRS KW RECOVERED PER DAY]]/Table1[[#This Row],[WHRS RH]],1))</f>
        <v>0</v>
      </c>
      <c r="Z75" s="8"/>
      <c r="AA75" s="1"/>
      <c r="AB75" s="1"/>
      <c r="AC75" s="1"/>
      <c r="AD75" s="1"/>
      <c r="AE75" s="1"/>
      <c r="AF75" s="1" t="str">
        <f t="shared" si="5"/>
        <v/>
      </c>
      <c r="AG75" s="1" t="str">
        <f t="shared" si="6"/>
        <v/>
      </c>
      <c r="AH75" s="1" t="str">
        <f t="shared" si="7"/>
        <v/>
      </c>
      <c r="AI75" s="1" t="str">
        <f>IF(AH75="", "", SUM($AH$4:AH75))</f>
        <v/>
      </c>
      <c r="AJ75" s="9"/>
    </row>
    <row r="76" spans="1:36">
      <c r="A76" s="7"/>
      <c r="W76" s="1" t="str">
        <f>IF(Table1[[#This Row],[WHRS NET KW TOTAL]]="","", Table1[[#This Row],[WHRS NET KW TOTAL]]-U75)</f>
        <v/>
      </c>
      <c r="X76" s="6">
        <f>Table1[[#This Row],[WHRS  KW TOTAL]]-V75</f>
        <v>0</v>
      </c>
      <c r="Y76" s="6" t="b">
        <f>IF(AND(Table1[[#This Row],[WHRS KW RECOVERED PER DAY]]&lt;&gt;0,Table1[[#This Row],[WHRS RH]]&lt;&gt;0),ROUND(Table1[[#This Row],[WHRS KW RECOVERED PER DAY]]/Table1[[#This Row],[WHRS RH]],1))</f>
        <v>0</v>
      </c>
      <c r="Z76" s="8"/>
      <c r="AA76" s="1"/>
      <c r="AB76" s="1"/>
      <c r="AC76" s="1"/>
      <c r="AD76" s="1"/>
      <c r="AE76" s="1"/>
      <c r="AF76" s="1" t="str">
        <f t="shared" si="5"/>
        <v/>
      </c>
      <c r="AG76" s="1" t="str">
        <f t="shared" si="6"/>
        <v/>
      </c>
      <c r="AH76" s="1" t="str">
        <f t="shared" si="7"/>
        <v/>
      </c>
      <c r="AI76" s="1" t="str">
        <f>IF(AH76="", "", SUM($AH$4:AH76))</f>
        <v/>
      </c>
      <c r="AJ76" s="9"/>
    </row>
    <row r="77" spans="1:36">
      <c r="A77" s="7"/>
      <c r="W77" s="1" t="str">
        <f>IF(Table1[[#This Row],[WHRS NET KW TOTAL]]="","", Table1[[#This Row],[WHRS NET KW TOTAL]]-U76)</f>
        <v/>
      </c>
      <c r="X77" s="6">
        <f>Table1[[#This Row],[WHRS  KW TOTAL]]-V76</f>
        <v>0</v>
      </c>
      <c r="Y77" s="6" t="b">
        <f>IF(AND(Table1[[#This Row],[WHRS KW RECOVERED PER DAY]]&lt;&gt;0,Table1[[#This Row],[WHRS RH]]&lt;&gt;0),ROUND(Table1[[#This Row],[WHRS KW RECOVERED PER DAY]]/Table1[[#This Row],[WHRS RH]],1))</f>
        <v>0</v>
      </c>
      <c r="Z77" s="8"/>
      <c r="AA77" s="1"/>
      <c r="AB77" s="1"/>
      <c r="AC77" s="1"/>
      <c r="AD77" s="1"/>
      <c r="AE77" s="1"/>
      <c r="AF77" s="1" t="str">
        <f t="shared" si="5"/>
        <v/>
      </c>
      <c r="AG77" s="1" t="str">
        <f t="shared" si="6"/>
        <v/>
      </c>
      <c r="AH77" s="1" t="str">
        <f t="shared" si="7"/>
        <v/>
      </c>
      <c r="AI77" s="1" t="str">
        <f>IF(AH77="", "", SUM($AH$4:AH77))</f>
        <v/>
      </c>
      <c r="AJ77" s="9"/>
    </row>
    <row r="78" spans="1:36">
      <c r="A78" s="7"/>
      <c r="W78" s="1" t="str">
        <f>IF(Table1[[#This Row],[WHRS NET KW TOTAL]]="","", Table1[[#This Row],[WHRS NET KW TOTAL]]-U77)</f>
        <v/>
      </c>
      <c r="X78" s="6">
        <f>Table1[[#This Row],[WHRS  KW TOTAL]]-V77</f>
        <v>0</v>
      </c>
      <c r="Y78" s="6" t="b">
        <f>IF(AND(Table1[[#This Row],[WHRS KW RECOVERED PER DAY]]&lt;&gt;0,Table1[[#This Row],[WHRS RH]]&lt;&gt;0),ROUND(Table1[[#This Row],[WHRS KW RECOVERED PER DAY]]/Table1[[#This Row],[WHRS RH]],1))</f>
        <v>0</v>
      </c>
      <c r="Z78" s="8"/>
      <c r="AA78" s="1"/>
      <c r="AB78" s="1"/>
      <c r="AC78" s="1"/>
      <c r="AD78" s="1"/>
      <c r="AE78" s="1"/>
      <c r="AF78" s="1" t="str">
        <f t="shared" si="5"/>
        <v/>
      </c>
      <c r="AG78" s="1" t="str">
        <f t="shared" si="6"/>
        <v/>
      </c>
      <c r="AH78" s="1" t="str">
        <f t="shared" si="7"/>
        <v/>
      </c>
      <c r="AI78" s="1" t="str">
        <f>IF(AH78="", "", SUM($AH$4:AH78))</f>
        <v/>
      </c>
      <c r="AJ78" s="9"/>
    </row>
    <row r="79" spans="1:36">
      <c r="A79" s="7"/>
      <c r="W79" s="1" t="str">
        <f>IF(Table1[[#This Row],[WHRS NET KW TOTAL]]="","", Table1[[#This Row],[WHRS NET KW TOTAL]]-U78)</f>
        <v/>
      </c>
      <c r="X79" s="6">
        <f>Table1[[#This Row],[WHRS  KW TOTAL]]-V78</f>
        <v>0</v>
      </c>
      <c r="Y79" s="6" t="b">
        <f>IF(AND(Table1[[#This Row],[WHRS KW RECOVERED PER DAY]]&lt;&gt;0,Table1[[#This Row],[WHRS RH]]&lt;&gt;0),ROUND(Table1[[#This Row],[WHRS KW RECOVERED PER DAY]]/Table1[[#This Row],[WHRS RH]],1))</f>
        <v>0</v>
      </c>
      <c r="Z79" s="8"/>
      <c r="AA79" s="1"/>
      <c r="AB79" s="1"/>
      <c r="AC79" s="1"/>
      <c r="AD79" s="1"/>
      <c r="AE79" s="1"/>
      <c r="AF79" s="1" t="str">
        <f t="shared" si="5"/>
        <v/>
      </c>
      <c r="AG79" s="1" t="str">
        <f t="shared" si="6"/>
        <v/>
      </c>
      <c r="AH79" s="1" t="str">
        <f t="shared" si="7"/>
        <v/>
      </c>
      <c r="AI79" s="1" t="str">
        <f>IF(AH79="", "", SUM($AH$4:AH79))</f>
        <v/>
      </c>
      <c r="AJ79" s="9"/>
    </row>
    <row r="80" spans="1:36">
      <c r="A80" s="7"/>
      <c r="W80" s="1" t="str">
        <f>IF(Table1[[#This Row],[WHRS NET KW TOTAL]]="","", Table1[[#This Row],[WHRS NET KW TOTAL]]-U79)</f>
        <v/>
      </c>
      <c r="X80" s="6">
        <f>Table1[[#This Row],[WHRS  KW TOTAL]]-V79</f>
        <v>0</v>
      </c>
      <c r="Y80" s="6" t="b">
        <f>IF(AND(Table1[[#This Row],[WHRS KW RECOVERED PER DAY]]&lt;&gt;0,Table1[[#This Row],[WHRS RH]]&lt;&gt;0),ROUND(Table1[[#This Row],[WHRS KW RECOVERED PER DAY]]/Table1[[#This Row],[WHRS RH]],1))</f>
        <v>0</v>
      </c>
      <c r="Z80" s="8"/>
      <c r="AA80" s="1"/>
      <c r="AB80" s="1"/>
      <c r="AC80" s="1"/>
      <c r="AD80" s="1"/>
      <c r="AE80" s="1"/>
      <c r="AF80" s="1" t="str">
        <f t="shared" si="5"/>
        <v/>
      </c>
      <c r="AG80" s="1" t="str">
        <f t="shared" si="6"/>
        <v/>
      </c>
      <c r="AH80" s="1" t="str">
        <f t="shared" si="7"/>
        <v/>
      </c>
      <c r="AI80" s="1" t="str">
        <f>IF(AH80="", "", SUM($AH$4:AH80))</f>
        <v/>
      </c>
      <c r="AJ80" s="9"/>
    </row>
    <row r="81" spans="1:36">
      <c r="A81" s="7"/>
      <c r="W81" s="1" t="str">
        <f>IF(Table1[[#This Row],[WHRS NET KW TOTAL]]="","", Table1[[#This Row],[WHRS NET KW TOTAL]]-U80)</f>
        <v/>
      </c>
      <c r="X81" s="6">
        <f>Table1[[#This Row],[WHRS  KW TOTAL]]-V80</f>
        <v>0</v>
      </c>
      <c r="Y81" s="6" t="b">
        <f>IF(AND(Table1[[#This Row],[WHRS KW RECOVERED PER DAY]]&lt;&gt;0,Table1[[#This Row],[WHRS RH]]&lt;&gt;0),ROUND(Table1[[#This Row],[WHRS KW RECOVERED PER DAY]]/Table1[[#This Row],[WHRS RH]],1))</f>
        <v>0</v>
      </c>
      <c r="Z81" s="8"/>
      <c r="AA81" s="1"/>
      <c r="AB81" s="1"/>
      <c r="AC81" s="1"/>
      <c r="AD81" s="1"/>
      <c r="AE81" s="1"/>
      <c r="AF81" s="1" t="str">
        <f t="shared" si="5"/>
        <v/>
      </c>
      <c r="AG81" s="1" t="str">
        <f t="shared" si="6"/>
        <v/>
      </c>
      <c r="AH81" s="1" t="str">
        <f t="shared" si="7"/>
        <v/>
      </c>
      <c r="AI81" s="1" t="str">
        <f>IF(AH81="", "", SUM($AH$4:AH81))</f>
        <v/>
      </c>
      <c r="AJ81" s="9"/>
    </row>
    <row r="82" spans="1:36">
      <c r="A82" s="7"/>
      <c r="W82" s="1" t="str">
        <f>IF(Table1[[#This Row],[WHRS NET KW TOTAL]]="","", Table1[[#This Row],[WHRS NET KW TOTAL]]-U81)</f>
        <v/>
      </c>
      <c r="X82" s="6">
        <f>Table1[[#This Row],[WHRS  KW TOTAL]]-V81</f>
        <v>0</v>
      </c>
      <c r="Y82" s="6" t="b">
        <f>IF(AND(Table1[[#This Row],[WHRS KW RECOVERED PER DAY]]&lt;&gt;0,Table1[[#This Row],[WHRS RH]]&lt;&gt;0),ROUND(Table1[[#This Row],[WHRS KW RECOVERED PER DAY]]/Table1[[#This Row],[WHRS RH]],1))</f>
        <v>0</v>
      </c>
      <c r="Z82" s="8"/>
      <c r="AA82" s="1"/>
      <c r="AB82" s="1"/>
      <c r="AC82" s="1"/>
      <c r="AD82" s="1"/>
      <c r="AE82" s="1"/>
      <c r="AF82" s="1" t="str">
        <f t="shared" si="5"/>
        <v/>
      </c>
      <c r="AG82" s="1" t="str">
        <f t="shared" si="6"/>
        <v/>
      </c>
      <c r="AH82" s="1" t="str">
        <f t="shared" si="7"/>
        <v/>
      </c>
      <c r="AI82" s="1" t="str">
        <f>IF(AH82="", "", SUM($AH$4:AH82))</f>
        <v/>
      </c>
      <c r="AJ82" s="9"/>
    </row>
    <row r="83" spans="1:36">
      <c r="A83" s="7"/>
      <c r="W83" s="1" t="str">
        <f>IF(Table1[[#This Row],[WHRS NET KW TOTAL]]="","", Table1[[#This Row],[WHRS NET KW TOTAL]]-U82)</f>
        <v/>
      </c>
      <c r="X83" s="6">
        <f>Table1[[#This Row],[WHRS  KW TOTAL]]-V82</f>
        <v>0</v>
      </c>
      <c r="Y83" s="6" t="b">
        <f>IF(AND(Table1[[#This Row],[WHRS KW RECOVERED PER DAY]]&lt;&gt;0,Table1[[#This Row],[WHRS RH]]&lt;&gt;0),ROUND(Table1[[#This Row],[WHRS KW RECOVERED PER DAY]]/Table1[[#This Row],[WHRS RH]],1))</f>
        <v>0</v>
      </c>
      <c r="Z83" s="8"/>
      <c r="AA83" s="1"/>
      <c r="AB83" s="1"/>
      <c r="AC83" s="1"/>
      <c r="AD83" s="1"/>
      <c r="AE83" s="1"/>
      <c r="AF83" s="1" t="str">
        <f t="shared" si="5"/>
        <v/>
      </c>
      <c r="AG83" s="1" t="str">
        <f t="shared" si="6"/>
        <v/>
      </c>
      <c r="AH83" s="1" t="str">
        <f t="shared" si="7"/>
        <v/>
      </c>
      <c r="AI83" s="1" t="str">
        <f>IF(AH83="", "", SUM($AH$4:AH83))</f>
        <v/>
      </c>
      <c r="AJ83" s="9"/>
    </row>
    <row r="84" spans="1:36">
      <c r="A84" s="7"/>
      <c r="W84" s="1" t="str">
        <f>IF(Table1[[#This Row],[WHRS NET KW TOTAL]]="","", Table1[[#This Row],[WHRS NET KW TOTAL]]-U83)</f>
        <v/>
      </c>
      <c r="X84" s="6">
        <f>Table1[[#This Row],[WHRS  KW TOTAL]]-V83</f>
        <v>0</v>
      </c>
      <c r="Y84" s="6" t="b">
        <f>IF(AND(Table1[[#This Row],[WHRS KW RECOVERED PER DAY]]&lt;&gt;0,Table1[[#This Row],[WHRS RH]]&lt;&gt;0),ROUND(Table1[[#This Row],[WHRS KW RECOVERED PER DAY]]/Table1[[#This Row],[WHRS RH]],1))</f>
        <v>0</v>
      </c>
      <c r="Z84" s="8"/>
      <c r="AA84" s="1"/>
      <c r="AB84" s="1"/>
      <c r="AC84" s="1"/>
      <c r="AD84" s="1"/>
      <c r="AE84" s="1"/>
      <c r="AF84" s="1" t="str">
        <f t="shared" si="5"/>
        <v/>
      </c>
      <c r="AG84" s="1" t="str">
        <f t="shared" si="6"/>
        <v/>
      </c>
      <c r="AH84" s="1" t="str">
        <f t="shared" si="7"/>
        <v/>
      </c>
      <c r="AI84" s="1" t="str">
        <f>IF(AH84="", "", SUM($AH$4:AH84))</f>
        <v/>
      </c>
      <c r="AJ84" s="9"/>
    </row>
    <row r="85" spans="1:36">
      <c r="A85" s="7"/>
      <c r="W85" s="1" t="str">
        <f>IF(Table1[[#This Row],[WHRS NET KW TOTAL]]="","", Table1[[#This Row],[WHRS NET KW TOTAL]]-U84)</f>
        <v/>
      </c>
      <c r="X85" s="6">
        <f>Table1[[#This Row],[WHRS  KW TOTAL]]-V84</f>
        <v>0</v>
      </c>
      <c r="Y85" s="6" t="b">
        <f>IF(AND(Table1[[#This Row],[WHRS KW RECOVERED PER DAY]]&lt;&gt;0,Table1[[#This Row],[WHRS RH]]&lt;&gt;0),ROUND(Table1[[#This Row],[WHRS KW RECOVERED PER DAY]]/Table1[[#This Row],[WHRS RH]],1))</f>
        <v>0</v>
      </c>
      <c r="Z85" s="8"/>
      <c r="AA85" s="1"/>
      <c r="AB85" s="1"/>
      <c r="AC85" s="1"/>
      <c r="AD85" s="1"/>
      <c r="AE85" s="1"/>
      <c r="AF85" s="1" t="str">
        <f t="shared" si="5"/>
        <v/>
      </c>
      <c r="AG85" s="1" t="str">
        <f t="shared" si="6"/>
        <v/>
      </c>
      <c r="AH85" s="1" t="str">
        <f t="shared" si="7"/>
        <v/>
      </c>
      <c r="AI85" s="1" t="str">
        <f>IF(AH85="", "", SUM($AH$4:AH85))</f>
        <v/>
      </c>
      <c r="AJ85" s="9"/>
    </row>
    <row r="86" spans="1:36">
      <c r="A86" s="7"/>
      <c r="W86" s="1" t="str">
        <f>IF(Table1[[#This Row],[WHRS NET KW TOTAL]]="","", Table1[[#This Row],[WHRS NET KW TOTAL]]-U85)</f>
        <v/>
      </c>
      <c r="X86" s="6">
        <f>Table1[[#This Row],[WHRS  KW TOTAL]]-V85</f>
        <v>0</v>
      </c>
      <c r="Y86" s="6" t="b">
        <f>IF(AND(Table1[[#This Row],[WHRS KW RECOVERED PER DAY]]&lt;&gt;0,Table1[[#This Row],[WHRS RH]]&lt;&gt;0),ROUND(Table1[[#This Row],[WHRS KW RECOVERED PER DAY]]/Table1[[#This Row],[WHRS RH]],1))</f>
        <v>0</v>
      </c>
      <c r="Z86" s="8"/>
      <c r="AA86" s="1"/>
      <c r="AB86" s="1"/>
      <c r="AC86" s="1"/>
      <c r="AD86" s="1"/>
      <c r="AE86" s="1"/>
      <c r="AF86" s="1" t="str">
        <f t="shared" si="5"/>
        <v/>
      </c>
      <c r="AG86" s="1" t="str">
        <f t="shared" si="6"/>
        <v/>
      </c>
      <c r="AH86" s="1" t="str">
        <f t="shared" si="7"/>
        <v/>
      </c>
      <c r="AI86" s="1" t="str">
        <f>IF(AH86="", "", SUM($AH$4:AH86))</f>
        <v/>
      </c>
      <c r="AJ86" s="9"/>
    </row>
    <row r="87" spans="1:36">
      <c r="A87" s="7"/>
      <c r="W87" s="1" t="str">
        <f>IF(Table1[[#This Row],[WHRS NET KW TOTAL]]="","", Table1[[#This Row],[WHRS NET KW TOTAL]]-U86)</f>
        <v/>
      </c>
      <c r="X87" s="6">
        <f>Table1[[#This Row],[WHRS  KW TOTAL]]-V86</f>
        <v>0</v>
      </c>
      <c r="Y87" s="6" t="b">
        <f>IF(AND(Table1[[#This Row],[WHRS KW RECOVERED PER DAY]]&lt;&gt;0,Table1[[#This Row],[WHRS RH]]&lt;&gt;0),ROUND(Table1[[#This Row],[WHRS KW RECOVERED PER DAY]]/Table1[[#This Row],[WHRS RH]],1))</f>
        <v>0</v>
      </c>
      <c r="Z87" s="8"/>
      <c r="AA87" s="1"/>
      <c r="AB87" s="1"/>
      <c r="AC87" s="1"/>
      <c r="AD87" s="1"/>
      <c r="AE87" s="1"/>
      <c r="AF87" s="1" t="str">
        <f t="shared" si="5"/>
        <v/>
      </c>
      <c r="AG87" s="1" t="str">
        <f t="shared" si="6"/>
        <v/>
      </c>
      <c r="AH87" s="1" t="str">
        <f t="shared" si="7"/>
        <v/>
      </c>
      <c r="AI87" s="1" t="str">
        <f>IF(AH87="", "", SUM($AH$4:AH87))</f>
        <v/>
      </c>
      <c r="AJ87" s="9"/>
    </row>
    <row r="88" spans="1:36">
      <c r="A88" s="7"/>
      <c r="W88" s="1" t="str">
        <f>IF(Table1[[#This Row],[WHRS NET KW TOTAL]]="","", Table1[[#This Row],[WHRS NET KW TOTAL]]-U87)</f>
        <v/>
      </c>
      <c r="X88" s="6">
        <f>Table1[[#This Row],[WHRS  KW TOTAL]]-V87</f>
        <v>0</v>
      </c>
      <c r="Y88" s="6" t="b">
        <f>IF(AND(Table1[[#This Row],[WHRS KW RECOVERED PER DAY]]&lt;&gt;0,Table1[[#This Row],[WHRS RH]]&lt;&gt;0),ROUND(Table1[[#This Row],[WHRS KW RECOVERED PER DAY]]/Table1[[#This Row],[WHRS RH]],1))</f>
        <v>0</v>
      </c>
      <c r="Z88" s="8"/>
      <c r="AA88" s="1"/>
      <c r="AB88" s="1"/>
      <c r="AC88" s="1"/>
      <c r="AD88" s="1"/>
      <c r="AE88" s="1"/>
      <c r="AF88" s="1" t="str">
        <f t="shared" si="5"/>
        <v/>
      </c>
      <c r="AG88" s="1" t="str">
        <f t="shared" si="6"/>
        <v/>
      </c>
      <c r="AH88" s="1" t="str">
        <f t="shared" si="7"/>
        <v/>
      </c>
      <c r="AI88" s="1" t="str">
        <f>IF(AH88="", "", SUM($AH$4:AH88))</f>
        <v/>
      </c>
      <c r="AJ88" s="9"/>
    </row>
    <row r="89" spans="1:36">
      <c r="A89" s="7"/>
      <c r="W89" s="1" t="str">
        <f>IF(Table1[[#This Row],[WHRS NET KW TOTAL]]="","", Table1[[#This Row],[WHRS NET KW TOTAL]]-U88)</f>
        <v/>
      </c>
      <c r="X89" s="6">
        <f>Table1[[#This Row],[WHRS  KW TOTAL]]-V88</f>
        <v>0</v>
      </c>
      <c r="Y89" s="6" t="b">
        <f>IF(AND(Table1[[#This Row],[WHRS KW RECOVERED PER DAY]]&lt;&gt;0,Table1[[#This Row],[WHRS RH]]&lt;&gt;0),ROUND(Table1[[#This Row],[WHRS KW RECOVERED PER DAY]]/Table1[[#This Row],[WHRS RH]],1))</f>
        <v>0</v>
      </c>
      <c r="Z89" s="8"/>
      <c r="AA89" s="1"/>
      <c r="AB89" s="1"/>
      <c r="AC89" s="1"/>
      <c r="AD89" s="1"/>
      <c r="AE89" s="1"/>
      <c r="AF89" s="1" t="str">
        <f t="shared" si="5"/>
        <v/>
      </c>
      <c r="AG89" s="1" t="str">
        <f t="shared" si="6"/>
        <v/>
      </c>
      <c r="AH89" s="1" t="str">
        <f t="shared" si="7"/>
        <v/>
      </c>
      <c r="AI89" s="1" t="str">
        <f>IF(AH89="", "", SUM($AH$4:AH89))</f>
        <v/>
      </c>
      <c r="AJ89" s="9"/>
    </row>
    <row r="90" spans="1:36">
      <c r="A90" s="7"/>
      <c r="W90" s="1" t="str">
        <f>IF(Table1[[#This Row],[WHRS NET KW TOTAL]]="","", Table1[[#This Row],[WHRS NET KW TOTAL]]-U89)</f>
        <v/>
      </c>
      <c r="X90" s="6">
        <f>Table1[[#This Row],[WHRS  KW TOTAL]]-V89</f>
        <v>0</v>
      </c>
      <c r="Y90" s="6" t="b">
        <f>IF(AND(Table1[[#This Row],[WHRS KW RECOVERED PER DAY]]&lt;&gt;0,Table1[[#This Row],[WHRS RH]]&lt;&gt;0),ROUND(Table1[[#This Row],[WHRS KW RECOVERED PER DAY]]/Table1[[#This Row],[WHRS RH]],1))</f>
        <v>0</v>
      </c>
      <c r="Z90" s="8"/>
      <c r="AA90" s="1"/>
      <c r="AB90" s="1"/>
      <c r="AC90" s="1"/>
      <c r="AD90" s="1"/>
      <c r="AE90" s="1"/>
      <c r="AF90" s="1" t="str">
        <f t="shared" si="5"/>
        <v/>
      </c>
      <c r="AG90" s="1" t="str">
        <f t="shared" si="6"/>
        <v/>
      </c>
      <c r="AH90" s="1" t="str">
        <f t="shared" si="7"/>
        <v/>
      </c>
      <c r="AI90" s="1" t="str">
        <f>IF(AH90="", "", SUM($AH$4:AH90))</f>
        <v/>
      </c>
      <c r="AJ90" s="9"/>
    </row>
    <row r="91" spans="1:36">
      <c r="A91" s="7"/>
      <c r="W91" s="1" t="str">
        <f>IF(Table1[[#This Row],[WHRS NET KW TOTAL]]="","", Table1[[#This Row],[WHRS NET KW TOTAL]]-U90)</f>
        <v/>
      </c>
      <c r="X91" s="6">
        <f>Table1[[#This Row],[WHRS  KW TOTAL]]-V90</f>
        <v>0</v>
      </c>
      <c r="Y91" s="6" t="b">
        <f>IF(AND(Table1[[#This Row],[WHRS KW RECOVERED PER DAY]]&lt;&gt;0,Table1[[#This Row],[WHRS RH]]&lt;&gt;0),ROUND(Table1[[#This Row],[WHRS KW RECOVERED PER DAY]]/Table1[[#This Row],[WHRS RH]],1))</f>
        <v>0</v>
      </c>
      <c r="Z91" s="8"/>
      <c r="AA91" s="1"/>
      <c r="AB91" s="1"/>
      <c r="AC91" s="1"/>
      <c r="AD91" s="1"/>
      <c r="AE91" s="1"/>
      <c r="AF91" s="1" t="str">
        <f t="shared" si="5"/>
        <v/>
      </c>
      <c r="AG91" s="1" t="str">
        <f t="shared" si="6"/>
        <v/>
      </c>
      <c r="AH91" s="1" t="str">
        <f t="shared" si="7"/>
        <v/>
      </c>
      <c r="AI91" s="1" t="str">
        <f>IF(AH91="", "", SUM($AH$4:AH91))</f>
        <v/>
      </c>
      <c r="AJ91" s="9"/>
    </row>
    <row r="92" spans="1:36">
      <c r="A92" s="7"/>
      <c r="W92" s="1" t="str">
        <f>IF(Table1[[#This Row],[WHRS NET KW TOTAL]]="","", Table1[[#This Row],[WHRS NET KW TOTAL]]-U91)</f>
        <v/>
      </c>
      <c r="X92" s="6">
        <f>Table1[[#This Row],[WHRS  KW TOTAL]]-V91</f>
        <v>0</v>
      </c>
      <c r="Y92" s="6" t="b">
        <f>IF(AND(Table1[[#This Row],[WHRS KW RECOVERED PER DAY]]&lt;&gt;0,Table1[[#This Row],[WHRS RH]]&lt;&gt;0),ROUND(Table1[[#This Row],[WHRS KW RECOVERED PER DAY]]/Table1[[#This Row],[WHRS RH]],1))</f>
        <v>0</v>
      </c>
      <c r="Z92" s="8"/>
      <c r="AA92" s="1"/>
      <c r="AB92" s="1"/>
      <c r="AC92" s="1"/>
      <c r="AD92" s="1"/>
      <c r="AE92" s="1"/>
      <c r="AF92" s="1" t="str">
        <f t="shared" si="5"/>
        <v/>
      </c>
      <c r="AG92" s="1" t="str">
        <f t="shared" si="6"/>
        <v/>
      </c>
      <c r="AH92" s="1" t="str">
        <f t="shared" si="7"/>
        <v/>
      </c>
      <c r="AI92" s="1" t="str">
        <f>IF(AH92="", "", SUM($AH$4:AH92))</f>
        <v/>
      </c>
      <c r="AJ92" s="9"/>
    </row>
    <row r="93" spans="1:36">
      <c r="A93" s="7"/>
      <c r="W93" s="1" t="str">
        <f>IF(Table1[[#This Row],[WHRS NET KW TOTAL]]="","", Table1[[#This Row],[WHRS NET KW TOTAL]]-U92)</f>
        <v/>
      </c>
      <c r="X93" s="6">
        <f>Table1[[#This Row],[WHRS  KW TOTAL]]-V92</f>
        <v>0</v>
      </c>
      <c r="Y93" s="6" t="b">
        <f>IF(AND(Table1[[#This Row],[WHRS KW RECOVERED PER DAY]]&lt;&gt;0,Table1[[#This Row],[WHRS RH]]&lt;&gt;0),ROUND(Table1[[#This Row],[WHRS KW RECOVERED PER DAY]]/Table1[[#This Row],[WHRS RH]],1))</f>
        <v>0</v>
      </c>
      <c r="Z93" s="8"/>
      <c r="AA93" s="1"/>
      <c r="AB93" s="1"/>
      <c r="AC93" s="1"/>
      <c r="AD93" s="1"/>
      <c r="AE93" s="1"/>
      <c r="AF93" s="1" t="str">
        <f t="shared" si="5"/>
        <v/>
      </c>
      <c r="AG93" s="1" t="str">
        <f t="shared" si="6"/>
        <v/>
      </c>
      <c r="AH93" s="1" t="str">
        <f t="shared" si="7"/>
        <v/>
      </c>
      <c r="AI93" s="1" t="str">
        <f>IF(AH93="", "", SUM($AH$4:AH93))</f>
        <v/>
      </c>
      <c r="AJ93" s="9"/>
    </row>
    <row r="94" spans="1:36">
      <c r="A94" s="7"/>
      <c r="W94" s="1" t="str">
        <f>IF(Table1[[#This Row],[WHRS NET KW TOTAL]]="","", Table1[[#This Row],[WHRS NET KW TOTAL]]-U93)</f>
        <v/>
      </c>
      <c r="X94" s="6">
        <f>Table1[[#This Row],[WHRS  KW TOTAL]]-V93</f>
        <v>0</v>
      </c>
      <c r="Y94" s="6" t="b">
        <f>IF(AND(Table1[[#This Row],[WHRS KW RECOVERED PER DAY]]&lt;&gt;0,Table1[[#This Row],[WHRS RH]]&lt;&gt;0),ROUND(Table1[[#This Row],[WHRS KW RECOVERED PER DAY]]/Table1[[#This Row],[WHRS RH]],1))</f>
        <v>0</v>
      </c>
      <c r="Z94" s="8"/>
      <c r="AA94" s="1"/>
      <c r="AB94" s="1"/>
      <c r="AC94" s="1"/>
      <c r="AD94" s="1"/>
      <c r="AE94" s="1"/>
      <c r="AF94" s="1" t="str">
        <f t="shared" si="5"/>
        <v/>
      </c>
      <c r="AG94" s="1" t="str">
        <f t="shared" si="6"/>
        <v/>
      </c>
      <c r="AH94" s="1" t="str">
        <f t="shared" si="7"/>
        <v/>
      </c>
      <c r="AI94" s="1" t="str">
        <f>IF(AH94="", "", SUM($AH$4:AH94))</f>
        <v/>
      </c>
      <c r="AJ94" s="9"/>
    </row>
    <row r="95" spans="1:36">
      <c r="A95" s="7"/>
      <c r="W95" s="1" t="str">
        <f>IF(Table1[[#This Row],[WHRS NET KW TOTAL]]="","", Table1[[#This Row],[WHRS NET KW TOTAL]]-U94)</f>
        <v/>
      </c>
      <c r="X95" s="6">
        <f>Table1[[#This Row],[WHRS  KW TOTAL]]-V94</f>
        <v>0</v>
      </c>
      <c r="Y95" s="6" t="b">
        <f>IF(AND(Table1[[#This Row],[WHRS KW RECOVERED PER DAY]]&lt;&gt;0,Table1[[#This Row],[WHRS RH]]&lt;&gt;0),ROUND(Table1[[#This Row],[WHRS KW RECOVERED PER DAY]]/Table1[[#This Row],[WHRS RH]],1))</f>
        <v>0</v>
      </c>
      <c r="Z95" s="8"/>
      <c r="AA95" s="1"/>
      <c r="AB95" s="1"/>
      <c r="AC95" s="1"/>
      <c r="AD95" s="1"/>
      <c r="AE95" s="1"/>
      <c r="AF95" s="1" t="str">
        <f t="shared" si="5"/>
        <v/>
      </c>
      <c r="AG95" s="1" t="str">
        <f t="shared" si="6"/>
        <v/>
      </c>
      <c r="AH95" s="1" t="str">
        <f t="shared" si="7"/>
        <v/>
      </c>
      <c r="AI95" s="1" t="str">
        <f>IF(AH95="", "", SUM($AH$4:AH95))</f>
        <v/>
      </c>
      <c r="AJ95" s="9"/>
    </row>
    <row r="96" spans="1:36">
      <c r="A96" s="7"/>
      <c r="W96" s="1" t="str">
        <f>IF(Table1[[#This Row],[WHRS NET KW TOTAL]]="","", Table1[[#This Row],[WHRS NET KW TOTAL]]-U95)</f>
        <v/>
      </c>
      <c r="X96" s="6">
        <f>Table1[[#This Row],[WHRS  KW TOTAL]]-V95</f>
        <v>0</v>
      </c>
      <c r="Y96" s="6" t="b">
        <f>IF(AND(Table1[[#This Row],[WHRS KW RECOVERED PER DAY]]&lt;&gt;0,Table1[[#This Row],[WHRS RH]]&lt;&gt;0),ROUND(Table1[[#This Row],[WHRS KW RECOVERED PER DAY]]/Table1[[#This Row],[WHRS RH]],1))</f>
        <v>0</v>
      </c>
      <c r="Z96" s="8"/>
      <c r="AA96" s="1"/>
      <c r="AB96" s="1"/>
      <c r="AC96" s="1"/>
      <c r="AD96" s="1"/>
      <c r="AE96" s="1"/>
      <c r="AF96" s="1" t="str">
        <f t="shared" si="5"/>
        <v/>
      </c>
      <c r="AG96" s="1" t="str">
        <f t="shared" si="6"/>
        <v/>
      </c>
      <c r="AH96" s="1" t="str">
        <f t="shared" si="7"/>
        <v/>
      </c>
      <c r="AI96" s="1" t="str">
        <f>IF(AH96="", "", SUM($AH$4:AH96))</f>
        <v/>
      </c>
      <c r="AJ96" s="9"/>
    </row>
    <row r="97" spans="1:36">
      <c r="A97" s="7"/>
      <c r="W97" s="1" t="str">
        <f>IF(Table1[[#This Row],[WHRS NET KW TOTAL]]="","", Table1[[#This Row],[WHRS NET KW TOTAL]]-U96)</f>
        <v/>
      </c>
      <c r="X97" s="6">
        <f>Table1[[#This Row],[WHRS  KW TOTAL]]-V96</f>
        <v>0</v>
      </c>
      <c r="Y97" s="6" t="b">
        <f>IF(AND(Table1[[#This Row],[WHRS KW RECOVERED PER DAY]]&lt;&gt;0,Table1[[#This Row],[WHRS RH]]&lt;&gt;0),ROUND(Table1[[#This Row],[WHRS KW RECOVERED PER DAY]]/Table1[[#This Row],[WHRS RH]],1))</f>
        <v>0</v>
      </c>
      <c r="Z97" s="8"/>
      <c r="AA97" s="1"/>
      <c r="AB97" s="1"/>
      <c r="AC97" s="1"/>
      <c r="AD97" s="1"/>
      <c r="AE97" s="1"/>
      <c r="AF97" s="1" t="str">
        <f t="shared" si="5"/>
        <v/>
      </c>
      <c r="AG97" s="1" t="str">
        <f t="shared" si="6"/>
        <v/>
      </c>
      <c r="AH97" s="1" t="str">
        <f t="shared" si="7"/>
        <v/>
      </c>
      <c r="AI97" s="1" t="str">
        <f>IF(AH97="", "", SUM($AH$4:AH97))</f>
        <v/>
      </c>
      <c r="AJ97" s="9"/>
    </row>
    <row r="98" spans="1:36">
      <c r="A98" s="7"/>
      <c r="W98" s="1" t="str">
        <f>IF(Table1[[#This Row],[WHRS NET KW TOTAL]]="","", Table1[[#This Row],[WHRS NET KW TOTAL]]-U97)</f>
        <v/>
      </c>
      <c r="X98" s="6">
        <f>Table1[[#This Row],[WHRS  KW TOTAL]]-V97</f>
        <v>0</v>
      </c>
      <c r="Y98" s="6" t="b">
        <f>IF(AND(Table1[[#This Row],[WHRS KW RECOVERED PER DAY]]&lt;&gt;0,Table1[[#This Row],[WHRS RH]]&lt;&gt;0),ROUND(Table1[[#This Row],[WHRS KW RECOVERED PER DAY]]/Table1[[#This Row],[WHRS RH]],1))</f>
        <v>0</v>
      </c>
      <c r="Z98" s="8"/>
      <c r="AA98" s="1"/>
      <c r="AB98" s="1"/>
      <c r="AC98" s="1"/>
      <c r="AD98" s="1"/>
      <c r="AE98" s="1"/>
      <c r="AF98" s="1" t="str">
        <f t="shared" si="5"/>
        <v/>
      </c>
      <c r="AG98" s="1" t="str">
        <f t="shared" si="6"/>
        <v/>
      </c>
      <c r="AH98" s="1" t="str">
        <f t="shared" si="7"/>
        <v/>
      </c>
      <c r="AI98" s="1" t="str">
        <f>IF(AH98="", "", SUM($AH$4:AH98))</f>
        <v/>
      </c>
      <c r="AJ98" s="9"/>
    </row>
    <row r="99" spans="1:36">
      <c r="A99" s="7"/>
      <c r="W99" s="1" t="str">
        <f>IF(Table1[[#This Row],[WHRS NET KW TOTAL]]="","", Table1[[#This Row],[WHRS NET KW TOTAL]]-U98)</f>
        <v/>
      </c>
      <c r="X99" s="6">
        <f>Table1[[#This Row],[WHRS  KW TOTAL]]-V98</f>
        <v>0</v>
      </c>
      <c r="Y99" s="6" t="b">
        <f>IF(AND(Table1[[#This Row],[WHRS KW RECOVERED PER DAY]]&lt;&gt;0,Table1[[#This Row],[WHRS RH]]&lt;&gt;0),ROUND(Table1[[#This Row],[WHRS KW RECOVERED PER DAY]]/Table1[[#This Row],[WHRS RH]],1))</f>
        <v>0</v>
      </c>
      <c r="Z99" s="8"/>
      <c r="AA99" s="1"/>
      <c r="AB99" s="1"/>
      <c r="AC99" s="1"/>
      <c r="AD99" s="1"/>
      <c r="AE99" s="1"/>
      <c r="AF99" s="1" t="str">
        <f t="shared" si="5"/>
        <v/>
      </c>
      <c r="AG99" s="1" t="str">
        <f t="shared" si="6"/>
        <v/>
      </c>
      <c r="AH99" s="1" t="str">
        <f t="shared" si="7"/>
        <v/>
      </c>
      <c r="AI99" s="1" t="str">
        <f>IF(AH99="", "", SUM($AH$4:AH99))</f>
        <v/>
      </c>
      <c r="AJ99" s="9"/>
    </row>
    <row r="100" spans="1:36">
      <c r="A100" s="7"/>
      <c r="W100" s="1" t="str">
        <f>IF(Table1[[#This Row],[WHRS NET KW TOTAL]]="","", Table1[[#This Row],[WHRS NET KW TOTAL]]-U99)</f>
        <v/>
      </c>
      <c r="X100" s="6">
        <f>Table1[[#This Row],[WHRS  KW TOTAL]]-V99</f>
        <v>0</v>
      </c>
      <c r="Y100" s="6" t="b">
        <f>IF(AND(Table1[[#This Row],[WHRS KW RECOVERED PER DAY]]&lt;&gt;0,Table1[[#This Row],[WHRS RH]]&lt;&gt;0),ROUND(Table1[[#This Row],[WHRS KW RECOVERED PER DAY]]/Table1[[#This Row],[WHRS RH]],1))</f>
        <v>0</v>
      </c>
      <c r="Z100" s="8"/>
      <c r="AA100" s="1"/>
      <c r="AB100" s="1"/>
      <c r="AC100" s="1"/>
      <c r="AD100" s="1"/>
      <c r="AE100" s="1"/>
      <c r="AF100" s="1" t="str">
        <f t="shared" si="5"/>
        <v/>
      </c>
      <c r="AG100" s="1" t="str">
        <f t="shared" si="6"/>
        <v/>
      </c>
      <c r="AH100" s="1" t="str">
        <f t="shared" si="7"/>
        <v/>
      </c>
      <c r="AI100" s="1" t="str">
        <f>IF(AH100="", "", SUM($AH$4:AH100))</f>
        <v/>
      </c>
      <c r="AJ100" s="9"/>
    </row>
    <row r="101" spans="1:36">
      <c r="A101" s="7"/>
      <c r="W101" s="1" t="str">
        <f>IF(Table1[[#This Row],[WHRS NET KW TOTAL]]="","", Table1[[#This Row],[WHRS NET KW TOTAL]]-U100)</f>
        <v/>
      </c>
      <c r="X101" s="6">
        <f>Table1[[#This Row],[WHRS  KW TOTAL]]-V100</f>
        <v>0</v>
      </c>
      <c r="Y101" s="6" t="b">
        <f>IF(AND(Table1[[#This Row],[WHRS KW RECOVERED PER DAY]]&lt;&gt;0,Table1[[#This Row],[WHRS RH]]&lt;&gt;0),ROUND(Table1[[#This Row],[WHRS KW RECOVERED PER DAY]]/Table1[[#This Row],[WHRS RH]],1))</f>
        <v>0</v>
      </c>
      <c r="Z101" s="8"/>
      <c r="AA101" s="1"/>
      <c r="AB101" s="1"/>
      <c r="AC101" s="1"/>
      <c r="AD101" s="1"/>
      <c r="AE101" s="1"/>
      <c r="AF101" s="1" t="str">
        <f t="shared" si="5"/>
        <v/>
      </c>
      <c r="AG101" s="1" t="str">
        <f t="shared" si="6"/>
        <v/>
      </c>
      <c r="AH101" s="1" t="str">
        <f t="shared" si="7"/>
        <v/>
      </c>
      <c r="AI101" s="1" t="str">
        <f>IF(AH101="", "", SUM($AH$4:AH101))</f>
        <v/>
      </c>
      <c r="AJ101" s="9"/>
    </row>
    <row r="102" spans="1:36">
      <c r="A102" s="7"/>
      <c r="W102" s="1" t="str">
        <f>IF(Table1[[#This Row],[WHRS NET KW TOTAL]]="","", Table1[[#This Row],[WHRS NET KW TOTAL]]-U101)</f>
        <v/>
      </c>
      <c r="X102" s="6">
        <f>Table1[[#This Row],[WHRS  KW TOTAL]]-V101</f>
        <v>0</v>
      </c>
      <c r="Y102" s="6" t="b">
        <f>IF(AND(Table1[[#This Row],[WHRS KW RECOVERED PER DAY]]&lt;&gt;0,Table1[[#This Row],[WHRS RH]]&lt;&gt;0),ROUND(Table1[[#This Row],[WHRS KW RECOVERED PER DAY]]/Table1[[#This Row],[WHRS RH]],1))</f>
        <v>0</v>
      </c>
      <c r="Z102" s="8"/>
      <c r="AA102" s="1"/>
      <c r="AB102" s="1"/>
      <c r="AC102" s="1"/>
      <c r="AD102" s="1"/>
      <c r="AE102" s="1"/>
      <c r="AF102" s="1" t="str">
        <f t="shared" si="5"/>
        <v/>
      </c>
      <c r="AG102" s="1" t="str">
        <f t="shared" si="6"/>
        <v/>
      </c>
      <c r="AH102" s="1" t="str">
        <f t="shared" si="7"/>
        <v/>
      </c>
      <c r="AI102" s="1" t="str">
        <f>IF(AH102="", "", SUM($AH$4:AH102))</f>
        <v/>
      </c>
      <c r="AJ102" s="9"/>
    </row>
    <row r="103" spans="1:36">
      <c r="A103" s="7"/>
      <c r="W103" s="1" t="str">
        <f>IF(Table1[[#This Row],[WHRS NET KW TOTAL]]="","", Table1[[#This Row],[WHRS NET KW TOTAL]]-U102)</f>
        <v/>
      </c>
      <c r="X103" s="6">
        <f>Table1[[#This Row],[WHRS  KW TOTAL]]-V102</f>
        <v>0</v>
      </c>
      <c r="Y103" s="6" t="b">
        <f>IF(AND(Table1[[#This Row],[WHRS KW RECOVERED PER DAY]]&lt;&gt;0,Table1[[#This Row],[WHRS RH]]&lt;&gt;0),ROUND(Table1[[#This Row],[WHRS KW RECOVERED PER DAY]]/Table1[[#This Row],[WHRS RH]],1))</f>
        <v>0</v>
      </c>
      <c r="Z103" s="8"/>
      <c r="AA103" s="1"/>
      <c r="AB103" s="1"/>
      <c r="AC103" s="1"/>
      <c r="AD103" s="1"/>
      <c r="AE103" s="1"/>
      <c r="AF103" s="1" t="str">
        <f t="shared" si="5"/>
        <v/>
      </c>
      <c r="AG103" s="1" t="str">
        <f t="shared" si="6"/>
        <v/>
      </c>
      <c r="AH103" s="1" t="str">
        <f t="shared" si="7"/>
        <v/>
      </c>
      <c r="AI103" s="1" t="str">
        <f>IF(AH103="", "", SUM($AH$4:AH103))</f>
        <v/>
      </c>
      <c r="AJ103" s="9"/>
    </row>
    <row r="104" spans="1:36">
      <c r="A104" s="7"/>
      <c r="W104" s="1" t="str">
        <f>IF(Table1[[#This Row],[WHRS NET KW TOTAL]]="","", Table1[[#This Row],[WHRS NET KW TOTAL]]-U103)</f>
        <v/>
      </c>
      <c r="X104" s="6">
        <f>Table1[[#This Row],[WHRS  KW TOTAL]]-V103</f>
        <v>0</v>
      </c>
      <c r="Y104" s="6" t="b">
        <f>IF(AND(Table1[[#This Row],[WHRS KW RECOVERED PER DAY]]&lt;&gt;0,Table1[[#This Row],[WHRS RH]]&lt;&gt;0),ROUND(Table1[[#This Row],[WHRS KW RECOVERED PER DAY]]/Table1[[#This Row],[WHRS RH]],1))</f>
        <v>0</v>
      </c>
      <c r="Z104" s="8"/>
      <c r="AA104" s="1"/>
      <c r="AB104" s="1"/>
      <c r="AC104" s="1"/>
      <c r="AD104" s="1"/>
      <c r="AE104" s="1"/>
      <c r="AF104" s="1" t="str">
        <f t="shared" si="5"/>
        <v/>
      </c>
      <c r="AG104" s="1" t="str">
        <f t="shared" si="6"/>
        <v/>
      </c>
      <c r="AH104" s="1" t="str">
        <f t="shared" si="7"/>
        <v/>
      </c>
      <c r="AI104" s="1" t="str">
        <f>IF(AH104="", "", SUM($AH$4:AH104))</f>
        <v/>
      </c>
      <c r="AJ104" s="9"/>
    </row>
    <row r="105" spans="1:36">
      <c r="A105" s="7"/>
      <c r="W105" s="1" t="str">
        <f>IF(Table1[[#This Row],[WHRS NET KW TOTAL]]="","", Table1[[#This Row],[WHRS NET KW TOTAL]]-U104)</f>
        <v/>
      </c>
      <c r="X105" s="6">
        <f>Table1[[#This Row],[WHRS  KW TOTAL]]-V104</f>
        <v>0</v>
      </c>
      <c r="Y105" s="6"/>
      <c r="Z105" s="8"/>
      <c r="AA105" s="1"/>
      <c r="AB105" s="1"/>
      <c r="AC105" s="1"/>
      <c r="AD105" s="1"/>
      <c r="AE105" s="1"/>
      <c r="AF105" s="1" t="str">
        <f t="shared" si="5"/>
        <v/>
      </c>
      <c r="AG105" s="1" t="str">
        <f t="shared" si="6"/>
        <v/>
      </c>
      <c r="AH105" s="1" t="str">
        <f t="shared" si="7"/>
        <v/>
      </c>
      <c r="AI105" s="1" t="str">
        <f>IF(AH105="", "", SUM($AH$4:AH105))</f>
        <v/>
      </c>
      <c r="AJ105" s="9"/>
    </row>
    <row r="106" spans="1:36">
      <c r="A106" s="7"/>
      <c r="W106" s="1" t="str">
        <f>IF(Table1[[#This Row],[WHRS NET KW TOTAL]]="","", Table1[[#This Row],[WHRS NET KW TOTAL]]-U105)</f>
        <v/>
      </c>
      <c r="X106" s="6">
        <f>Table1[[#This Row],[WHRS  KW TOTAL]]-V105</f>
        <v>0</v>
      </c>
      <c r="Y106" s="6"/>
      <c r="Z106" s="8"/>
      <c r="AA106" s="1"/>
      <c r="AB106" s="1"/>
      <c r="AC106" s="1"/>
      <c r="AD106" s="1"/>
      <c r="AE106" s="1"/>
      <c r="AF106" s="1" t="str">
        <f t="shared" si="5"/>
        <v/>
      </c>
      <c r="AG106" s="1" t="str">
        <f t="shared" si="6"/>
        <v/>
      </c>
      <c r="AH106" s="1" t="str">
        <f t="shared" si="7"/>
        <v/>
      </c>
      <c r="AI106" s="1" t="str">
        <f>IF(AH106="", "", SUM($AH$4:AH106))</f>
        <v/>
      </c>
      <c r="AJ106" s="9"/>
    </row>
    <row r="107" spans="1:36">
      <c r="A107" s="7"/>
      <c r="W107" s="1" t="str">
        <f>IF(Table1[[#This Row],[WHRS NET KW TOTAL]]="","", Table1[[#This Row],[WHRS NET KW TOTAL]]-U106)</f>
        <v/>
      </c>
      <c r="X107" s="6">
        <f>Table1[[#This Row],[WHRS  KW TOTAL]]-V106</f>
        <v>0</v>
      </c>
      <c r="Y107" s="6"/>
      <c r="Z107" s="8"/>
      <c r="AA107" s="1"/>
      <c r="AB107" s="1"/>
      <c r="AC107" s="1"/>
      <c r="AD107" s="1"/>
      <c r="AE107" s="1"/>
      <c r="AF107" s="1" t="str">
        <f t="shared" si="5"/>
        <v/>
      </c>
      <c r="AG107" s="1" t="str">
        <f t="shared" si="6"/>
        <v/>
      </c>
      <c r="AH107" s="1" t="str">
        <f t="shared" si="7"/>
        <v/>
      </c>
      <c r="AI107" s="1" t="str">
        <f>IF(AH107="", "", SUM($AH$4:AH107))</f>
        <v/>
      </c>
      <c r="AJ107" s="9"/>
    </row>
    <row r="108" spans="1:36">
      <c r="A108" s="7"/>
      <c r="W108" s="1" t="str">
        <f>IF(Table1[[#This Row],[WHRS NET KW TOTAL]]="","", Table1[[#This Row],[WHRS NET KW TOTAL]]-U107)</f>
        <v/>
      </c>
      <c r="X108" s="6">
        <f>Table1[[#This Row],[WHRS  KW TOTAL]]-V107</f>
        <v>0</v>
      </c>
      <c r="Y108" s="6"/>
      <c r="Z108" s="8"/>
      <c r="AA108" s="1"/>
      <c r="AB108" s="1"/>
      <c r="AC108" s="1"/>
      <c r="AD108" s="1"/>
      <c r="AE108" s="1"/>
      <c r="AF108" s="1" t="str">
        <f t="shared" si="5"/>
        <v/>
      </c>
      <c r="AG108" s="1" t="str">
        <f t="shared" si="6"/>
        <v/>
      </c>
      <c r="AH108" s="1" t="str">
        <f t="shared" si="7"/>
        <v/>
      </c>
      <c r="AI108" s="1" t="str">
        <f>IF(AH108="", "", SUM($AH$4:AH108))</f>
        <v/>
      </c>
      <c r="AJ108" s="9"/>
    </row>
    <row r="109" spans="1:36">
      <c r="A109" s="7"/>
      <c r="W109" s="1" t="str">
        <f>IF(Table1[[#This Row],[WHRS NET KW TOTAL]]="","", Table1[[#This Row],[WHRS NET KW TOTAL]]-U108)</f>
        <v/>
      </c>
      <c r="X109" s="6">
        <f>Table1[[#This Row],[WHRS  KW TOTAL]]-V108</f>
        <v>0</v>
      </c>
      <c r="Y109" s="6"/>
      <c r="Z109" s="8"/>
      <c r="AA109" s="1"/>
      <c r="AB109" s="1"/>
      <c r="AC109" s="1"/>
      <c r="AD109" s="1"/>
      <c r="AE109" s="1"/>
      <c r="AF109" s="1" t="str">
        <f t="shared" si="5"/>
        <v/>
      </c>
      <c r="AG109" s="1" t="str">
        <f t="shared" si="6"/>
        <v/>
      </c>
      <c r="AH109" s="1" t="str">
        <f t="shared" si="7"/>
        <v/>
      </c>
      <c r="AI109" s="1" t="str">
        <f>IF(AH109="", "", SUM($AH$4:AH109))</f>
        <v/>
      </c>
      <c r="AJ109" s="9"/>
    </row>
    <row r="110" spans="1:36">
      <c r="A110" s="7"/>
      <c r="W110" s="1" t="str">
        <f>IF(Table1[[#This Row],[WHRS NET KW TOTAL]]="","", Table1[[#This Row],[WHRS NET KW TOTAL]]-U109)</f>
        <v/>
      </c>
      <c r="X110" s="6">
        <f>Table1[[#This Row],[WHRS  KW TOTAL]]-V109</f>
        <v>0</v>
      </c>
      <c r="Y110" s="6"/>
      <c r="Z110" s="8"/>
      <c r="AA110" s="1"/>
      <c r="AB110" s="1"/>
      <c r="AC110" s="1"/>
      <c r="AD110" s="1"/>
      <c r="AE110" s="1"/>
      <c r="AF110" s="1" t="str">
        <f t="shared" si="5"/>
        <v/>
      </c>
      <c r="AG110" s="1" t="str">
        <f t="shared" si="6"/>
        <v/>
      </c>
      <c r="AH110" s="1" t="str">
        <f t="shared" si="7"/>
        <v/>
      </c>
      <c r="AI110" s="1" t="str">
        <f>IF(AH110="", "", SUM($AH$4:AH110))</f>
        <v/>
      </c>
      <c r="AJ110" s="9"/>
    </row>
    <row r="111" spans="1:36">
      <c r="A111" s="7"/>
      <c r="W111" s="1" t="str">
        <f>IF(Table1[[#This Row],[WHRS NET KW TOTAL]]="","", Table1[[#This Row],[WHRS NET KW TOTAL]]-U110)</f>
        <v/>
      </c>
      <c r="X111" s="6">
        <f>Table1[[#This Row],[WHRS  KW TOTAL]]-V110</f>
        <v>0</v>
      </c>
      <c r="Y111" s="6" t="b">
        <f>IF(AND(Table1[[#This Row],[WHRS KW RECOVERED PER DAY]]&lt;&gt;0,Table1[[#This Row],[WHRS RH]]&lt;&gt;0),ROUND(Table1[[#This Row],[WHRS KW RECOVERED PER DAY]]/Table1[[#This Row],[WHRS RH]],1))</f>
        <v>0</v>
      </c>
      <c r="Z111" s="8"/>
      <c r="AA111" s="1"/>
      <c r="AB111" s="1"/>
      <c r="AC111" s="1"/>
      <c r="AD111" s="1"/>
      <c r="AE111" s="1"/>
      <c r="AF111" s="1" t="str">
        <f t="shared" si="5"/>
        <v/>
      </c>
      <c r="AG111" s="1" t="str">
        <f t="shared" si="6"/>
        <v/>
      </c>
      <c r="AH111" s="1" t="str">
        <f t="shared" si="7"/>
        <v/>
      </c>
      <c r="AI111" s="1" t="str">
        <f>IF(AH111="", "", SUM($AH$4:AH111))</f>
        <v/>
      </c>
      <c r="AJ111" s="9"/>
    </row>
    <row r="112" spans="1:36">
      <c r="A112" s="7"/>
      <c r="W112" s="1" t="str">
        <f>IF(Table1[[#This Row],[WHRS NET KW TOTAL]]="","", Table1[[#This Row],[WHRS NET KW TOTAL]]-U111)</f>
        <v/>
      </c>
      <c r="X112" s="6">
        <f>Table1[[#This Row],[WHRS  KW TOTAL]]-V111</f>
        <v>0</v>
      </c>
      <c r="Y112" s="6" t="b">
        <f>IF(AND(Table1[[#This Row],[WHRS KW RECOVERED PER DAY]]&lt;&gt;0,Table1[[#This Row],[WHRS RH]]&lt;&gt;0),ROUND(Table1[[#This Row],[WHRS KW RECOVERED PER DAY]]/Table1[[#This Row],[WHRS RH]],1))</f>
        <v>0</v>
      </c>
      <c r="Z112" s="8"/>
      <c r="AA112" s="1"/>
      <c r="AB112" s="1"/>
      <c r="AC112" s="1"/>
      <c r="AD112" s="1"/>
      <c r="AE112" s="1"/>
      <c r="AF112" s="1" t="str">
        <f t="shared" si="5"/>
        <v/>
      </c>
      <c r="AG112" s="1" t="str">
        <f t="shared" si="6"/>
        <v/>
      </c>
      <c r="AH112" s="1" t="str">
        <f t="shared" si="7"/>
        <v/>
      </c>
      <c r="AI112" s="1" t="str">
        <f>IF(AH112="", "", SUM($AH$4:AH112))</f>
        <v/>
      </c>
      <c r="AJ112" s="9"/>
    </row>
    <row r="113" spans="1:36">
      <c r="A113" s="7"/>
      <c r="W113" s="1" t="str">
        <f>IF(Table1[[#This Row],[WHRS NET KW TOTAL]]="","", Table1[[#This Row],[WHRS NET KW TOTAL]]-U112)</f>
        <v/>
      </c>
      <c r="X113" s="6">
        <f>Table1[[#This Row],[WHRS  KW TOTAL]]-V112</f>
        <v>0</v>
      </c>
      <c r="Y113" s="6" t="b">
        <f>IF(AND(Table1[[#This Row],[WHRS KW RECOVERED PER DAY]]&lt;&gt;0,Table1[[#This Row],[WHRS RH]]&lt;&gt;0),ROUND(Table1[[#This Row],[WHRS KW RECOVERED PER DAY]]/Table1[[#This Row],[WHRS RH]],1))</f>
        <v>0</v>
      </c>
      <c r="Z113" s="8"/>
      <c r="AA113" s="1"/>
      <c r="AB113" s="1"/>
      <c r="AC113" s="1"/>
      <c r="AD113" s="1"/>
      <c r="AE113" s="1"/>
      <c r="AF113" s="1" t="str">
        <f t="shared" si="5"/>
        <v/>
      </c>
      <c r="AG113" s="1" t="str">
        <f t="shared" si="6"/>
        <v/>
      </c>
      <c r="AH113" s="1" t="str">
        <f t="shared" si="7"/>
        <v/>
      </c>
      <c r="AI113" s="1" t="str">
        <f>IF(AH113="", "", SUM($AH$4:AH113))</f>
        <v/>
      </c>
      <c r="AJ113" s="9"/>
    </row>
    <row r="114" spans="1:36">
      <c r="A114" s="7"/>
      <c r="W114" s="1" t="str">
        <f>IF(Table1[[#This Row],[WHRS NET KW TOTAL]]="","", Table1[[#This Row],[WHRS NET KW TOTAL]]-U113)</f>
        <v/>
      </c>
      <c r="X114" s="6">
        <f>Table1[[#This Row],[WHRS  KW TOTAL]]-V113</f>
        <v>0</v>
      </c>
      <c r="Y114" s="6" t="b">
        <f>IF(AND(Table1[[#This Row],[WHRS KW RECOVERED PER DAY]]&lt;&gt;0,Table1[[#This Row],[WHRS RH]]&lt;&gt;0),ROUND(Table1[[#This Row],[WHRS KW RECOVERED PER DAY]]/Table1[[#This Row],[WHRS RH]],1))</f>
        <v>0</v>
      </c>
      <c r="Z114" s="8"/>
      <c r="AA114" s="1"/>
      <c r="AB114" s="1"/>
      <c r="AC114" s="1"/>
      <c r="AD114" s="1"/>
      <c r="AE114" s="1"/>
      <c r="AF114" s="1" t="str">
        <f t="shared" si="5"/>
        <v/>
      </c>
      <c r="AG114" s="1" t="str">
        <f t="shared" si="6"/>
        <v/>
      </c>
      <c r="AH114" s="1" t="str">
        <f t="shared" si="7"/>
        <v/>
      </c>
      <c r="AI114" s="1" t="str">
        <f>IF(AH114="", "", SUM($AH$4:AH114))</f>
        <v/>
      </c>
      <c r="AJ114" s="9"/>
    </row>
    <row r="115" spans="1:36">
      <c r="A115" s="7"/>
      <c r="W115" s="1" t="str">
        <f>IF(Table1[[#This Row],[WHRS NET KW TOTAL]]="","", Table1[[#This Row],[WHRS NET KW TOTAL]]-U114)</f>
        <v/>
      </c>
      <c r="X115" s="6">
        <f>Table1[[#This Row],[WHRS  KW TOTAL]]-V114</f>
        <v>0</v>
      </c>
      <c r="Y115" s="6" t="b">
        <f>IF(AND(Table1[[#This Row],[WHRS KW RECOVERED PER DAY]]&lt;&gt;0,Table1[[#This Row],[WHRS RH]]&lt;&gt;0),ROUND(Table1[[#This Row],[WHRS KW RECOVERED PER DAY]]/Table1[[#This Row],[WHRS RH]],1))</f>
        <v>0</v>
      </c>
      <c r="Z115" s="8"/>
      <c r="AA115" s="1"/>
      <c r="AB115" s="1"/>
      <c r="AC115" s="1"/>
      <c r="AD115" s="1"/>
      <c r="AE115" s="1"/>
      <c r="AF115" s="1" t="str">
        <f t="shared" si="5"/>
        <v/>
      </c>
      <c r="AG115" s="1" t="str">
        <f t="shared" si="6"/>
        <v/>
      </c>
      <c r="AH115" s="1" t="str">
        <f t="shared" si="7"/>
        <v/>
      </c>
      <c r="AI115" s="1" t="str">
        <f>IF(AH115="", "", SUM($AH$4:AH115))</f>
        <v/>
      </c>
      <c r="AJ115" s="9"/>
    </row>
    <row r="116" spans="1:36">
      <c r="A116" s="7"/>
      <c r="W116" s="1" t="str">
        <f>IF(Table1[[#This Row],[WHRS NET KW TOTAL]]="","", Table1[[#This Row],[WHRS NET KW TOTAL]]-U115)</f>
        <v/>
      </c>
      <c r="X116" s="6">
        <f>Table1[[#This Row],[WHRS  KW TOTAL]]-V115</f>
        <v>0</v>
      </c>
      <c r="Y116" s="6" t="b">
        <f>IF(AND(Table1[[#This Row],[WHRS KW RECOVERED PER DAY]]&lt;&gt;0,Table1[[#This Row],[WHRS RH]]&lt;&gt;0),ROUND(Table1[[#This Row],[WHRS KW RECOVERED PER DAY]]/Table1[[#This Row],[WHRS RH]],1))</f>
        <v>0</v>
      </c>
      <c r="Z116" s="8"/>
      <c r="AA116" s="1"/>
      <c r="AB116" s="1"/>
      <c r="AC116" s="1"/>
      <c r="AD116" s="1"/>
      <c r="AE116" s="1"/>
      <c r="AF116" s="1" t="str">
        <f t="shared" si="5"/>
        <v/>
      </c>
      <c r="AG116" s="1" t="str">
        <f t="shared" si="6"/>
        <v/>
      </c>
      <c r="AH116" s="1" t="str">
        <f t="shared" si="7"/>
        <v/>
      </c>
      <c r="AI116" s="1" t="str">
        <f>IF(AH116="", "", SUM($AH$4:AH116))</f>
        <v/>
      </c>
      <c r="AJ116" s="9"/>
    </row>
    <row r="117" spans="1:36">
      <c r="A117" s="7"/>
      <c r="W117" s="1" t="str">
        <f>IF(Table1[[#This Row],[WHRS NET KW TOTAL]]="","", Table1[[#This Row],[WHRS NET KW TOTAL]]-U116)</f>
        <v/>
      </c>
      <c r="X117" s="6">
        <f>Table1[[#This Row],[WHRS  KW TOTAL]]-V116</f>
        <v>0</v>
      </c>
      <c r="Y117" s="6" t="b">
        <f>IF(AND(Table1[[#This Row],[WHRS KW RECOVERED PER DAY]]&lt;&gt;0,Table1[[#This Row],[WHRS RH]]&lt;&gt;0),ROUND(Table1[[#This Row],[WHRS KW RECOVERED PER DAY]]/Table1[[#This Row],[WHRS RH]],1))</f>
        <v>0</v>
      </c>
      <c r="Z117" s="8"/>
      <c r="AA117" s="1"/>
      <c r="AB117" s="1"/>
      <c r="AC117" s="1"/>
      <c r="AD117" s="1"/>
      <c r="AE117" s="1"/>
      <c r="AF117" s="1" t="str">
        <f t="shared" si="5"/>
        <v/>
      </c>
      <c r="AG117" s="1" t="str">
        <f t="shared" si="6"/>
        <v/>
      </c>
      <c r="AH117" s="1" t="str">
        <f t="shared" si="7"/>
        <v/>
      </c>
      <c r="AI117" s="1" t="str">
        <f>IF(AH117="", "", SUM($AH$4:AH117))</f>
        <v/>
      </c>
      <c r="AJ117" s="9"/>
    </row>
    <row r="118" spans="1:36">
      <c r="A118" s="7"/>
      <c r="W118" s="1" t="str">
        <f>IF(Table1[[#This Row],[WHRS NET KW TOTAL]]="","", Table1[[#This Row],[WHRS NET KW TOTAL]]-U117)</f>
        <v/>
      </c>
      <c r="X118" s="6">
        <f>Table1[[#This Row],[WHRS  KW TOTAL]]-V117</f>
        <v>0</v>
      </c>
      <c r="Y118" s="6"/>
      <c r="Z118" s="8"/>
      <c r="AA118" s="1"/>
      <c r="AB118" s="1"/>
      <c r="AC118" s="1"/>
      <c r="AD118" s="1"/>
      <c r="AE118" s="1"/>
      <c r="AF118" s="1" t="str">
        <f t="shared" si="5"/>
        <v/>
      </c>
      <c r="AG118" s="1" t="str">
        <f t="shared" si="6"/>
        <v/>
      </c>
      <c r="AH118" s="1" t="str">
        <f t="shared" si="7"/>
        <v/>
      </c>
      <c r="AI118" s="1" t="str">
        <f>IF(AH118="", "", SUM($AH$4:AH118))</f>
        <v/>
      </c>
      <c r="AJ118" s="9"/>
    </row>
    <row r="119" spans="1:36">
      <c r="A119" s="7"/>
      <c r="W119" s="1" t="str">
        <f>IF(Table1[[#This Row],[WHRS NET KW TOTAL]]="","", Table1[[#This Row],[WHRS NET KW TOTAL]]-U118)</f>
        <v/>
      </c>
      <c r="X119" s="6">
        <f>Table1[[#This Row],[WHRS  KW TOTAL]]-V118</f>
        <v>0</v>
      </c>
      <c r="Y119" s="6" t="b">
        <f>IF(AND(Table1[[#This Row],[WHRS KW RECOVERED PER DAY]]&lt;&gt;0,Table1[[#This Row],[WHRS RH]]&lt;&gt;0),ROUND(Table1[[#This Row],[WHRS KW RECOVERED PER DAY]]/Table1[[#This Row],[WHRS RH]],1))</f>
        <v>0</v>
      </c>
      <c r="Z119" s="8"/>
      <c r="AA119" s="1"/>
      <c r="AB119" s="1"/>
      <c r="AC119" s="1"/>
      <c r="AD119" s="1"/>
      <c r="AE119" s="1"/>
      <c r="AF119" s="1" t="str">
        <f t="shared" si="5"/>
        <v/>
      </c>
      <c r="AG119" s="1" t="str">
        <f t="shared" si="6"/>
        <v/>
      </c>
      <c r="AH119" s="1" t="str">
        <f t="shared" si="7"/>
        <v/>
      </c>
      <c r="AI119" s="1" t="str">
        <f>IF(AH119="", "", SUM($AH$4:AH119))</f>
        <v/>
      </c>
      <c r="AJ119" s="9"/>
    </row>
    <row r="120" spans="1:36">
      <c r="A120" s="7"/>
      <c r="W120" s="1" t="str">
        <f>IF(Table1[[#This Row],[WHRS NET KW TOTAL]]="","", Table1[[#This Row],[WHRS NET KW TOTAL]]-U119)</f>
        <v/>
      </c>
      <c r="X120" s="6">
        <f>Table1[[#This Row],[WHRS  KW TOTAL]]-V119</f>
        <v>0</v>
      </c>
      <c r="Y120" s="6"/>
      <c r="Z120" s="8"/>
      <c r="AA120" s="1"/>
      <c r="AB120" s="1"/>
      <c r="AC120" s="1"/>
      <c r="AD120" s="1"/>
      <c r="AE120" s="1"/>
      <c r="AF120" s="1" t="str">
        <f t="shared" si="5"/>
        <v/>
      </c>
      <c r="AG120" s="1" t="str">
        <f t="shared" si="6"/>
        <v/>
      </c>
      <c r="AH120" s="1" t="str">
        <f t="shared" si="7"/>
        <v/>
      </c>
      <c r="AI120" s="1" t="str">
        <f>IF(AH120="", "", SUM($AH$4:AH120))</f>
        <v/>
      </c>
      <c r="AJ120" s="9"/>
    </row>
    <row r="121" spans="1:36">
      <c r="A121" s="7"/>
      <c r="W121" s="1" t="str">
        <f>IF(Table1[[#This Row],[WHRS NET KW TOTAL]]="","", Table1[[#This Row],[WHRS NET KW TOTAL]]-U120)</f>
        <v/>
      </c>
      <c r="X121" s="6">
        <f>Table1[[#This Row],[WHRS  KW TOTAL]]-V120</f>
        <v>0</v>
      </c>
      <c r="Y121" s="6" t="b">
        <f>IF(AND(Table1[[#This Row],[WHRS KW RECOVERED PER DAY]]&lt;&gt;0,Table1[[#This Row],[WHRS RH]]&lt;&gt;0),ROUND(Table1[[#This Row],[WHRS KW RECOVERED PER DAY]]/Table1[[#This Row],[WHRS RH]],1))</f>
        <v>0</v>
      </c>
      <c r="Z121" s="8"/>
      <c r="AA121" s="1"/>
      <c r="AB121" s="1"/>
      <c r="AC121" s="1"/>
      <c r="AD121" s="1"/>
      <c r="AE121" s="1"/>
      <c r="AF121" s="1" t="str">
        <f t="shared" si="5"/>
        <v/>
      </c>
      <c r="AG121" s="1" t="str">
        <f t="shared" si="6"/>
        <v/>
      </c>
      <c r="AH121" s="1" t="str">
        <f t="shared" si="7"/>
        <v/>
      </c>
      <c r="AI121" s="1" t="str">
        <f>IF(AH121="", "", SUM($AH$4:AH121))</f>
        <v/>
      </c>
      <c r="AJ121" s="9"/>
    </row>
    <row r="122" spans="1:36">
      <c r="A122" s="7"/>
      <c r="W122" s="1" t="str">
        <f>IF(Table1[[#This Row],[WHRS NET KW TOTAL]]="","", Table1[[#This Row],[WHRS NET KW TOTAL]]-U121)</f>
        <v/>
      </c>
      <c r="X122" s="6">
        <f>Table1[[#This Row],[WHRS  KW TOTAL]]-V121</f>
        <v>0</v>
      </c>
      <c r="Y122" s="6" t="b">
        <f>IF(AND(Table1[[#This Row],[WHRS KW RECOVERED PER DAY]]&lt;&gt;0,Table1[[#This Row],[WHRS RH]]&lt;&gt;0),ROUND(Table1[[#This Row],[WHRS KW RECOVERED PER DAY]]/Table1[[#This Row],[WHRS RH]],1))</f>
        <v>0</v>
      </c>
      <c r="Z122" s="8"/>
      <c r="AA122" s="1"/>
      <c r="AB122" s="1"/>
      <c r="AC122" s="1"/>
      <c r="AD122" s="1"/>
      <c r="AE122" s="1"/>
      <c r="AF122" s="1" t="str">
        <f t="shared" si="5"/>
        <v/>
      </c>
      <c r="AG122" s="1" t="str">
        <f t="shared" si="6"/>
        <v/>
      </c>
      <c r="AH122" s="1" t="str">
        <f t="shared" si="7"/>
        <v/>
      </c>
      <c r="AI122" s="1" t="str">
        <f>IF(AH122="", "", SUM($AH$4:AH122))</f>
        <v/>
      </c>
      <c r="AJ122" s="9"/>
    </row>
    <row r="123" spans="1:36">
      <c r="A123" s="7"/>
      <c r="W123" s="1" t="str">
        <f>IF(Table1[[#This Row],[WHRS NET KW TOTAL]]="","", Table1[[#This Row],[WHRS NET KW TOTAL]]-U122)</f>
        <v/>
      </c>
      <c r="X123" s="6">
        <f>Table1[[#This Row],[WHRS  KW TOTAL]]-V122</f>
        <v>0</v>
      </c>
      <c r="Y123" s="6"/>
      <c r="Z123" s="8"/>
      <c r="AA123" s="1"/>
      <c r="AB123" s="1"/>
      <c r="AC123" s="1"/>
      <c r="AD123" s="1"/>
      <c r="AE123" s="1"/>
      <c r="AF123" s="1" t="str">
        <f t="shared" si="5"/>
        <v/>
      </c>
      <c r="AG123" s="1" t="str">
        <f t="shared" si="6"/>
        <v/>
      </c>
      <c r="AH123" s="1" t="str">
        <f t="shared" si="7"/>
        <v/>
      </c>
      <c r="AI123" s="1" t="str">
        <f>IF(AH123="", "", SUM($AH$4:AH123))</f>
        <v/>
      </c>
      <c r="AJ123" s="9"/>
    </row>
    <row r="124" spans="1:36">
      <c r="A124" s="7"/>
      <c r="W124" s="1" t="str">
        <f>IF(Table1[[#This Row],[WHRS NET KW TOTAL]]="","", Table1[[#This Row],[WHRS NET KW TOTAL]]-U123)</f>
        <v/>
      </c>
      <c r="X124" s="6">
        <f>Table1[[#This Row],[WHRS  KW TOTAL]]-V123</f>
        <v>0</v>
      </c>
      <c r="Y124" s="6" t="b">
        <f>IF(AND(Table1[[#This Row],[WHRS KW RECOVERED PER DAY]]&lt;&gt;0,Table1[[#This Row],[WHRS RH]]&lt;&gt;0),ROUND(Table1[[#This Row],[WHRS KW RECOVERED PER DAY]]/Table1[[#This Row],[WHRS RH]],1))</f>
        <v>0</v>
      </c>
      <c r="Z124" s="8"/>
      <c r="AA124" s="1"/>
      <c r="AB124" s="1"/>
      <c r="AC124" s="1"/>
      <c r="AD124" s="1"/>
      <c r="AE124" s="1"/>
      <c r="AF124" s="1" t="str">
        <f t="shared" si="5"/>
        <v/>
      </c>
      <c r="AG124" s="1" t="str">
        <f t="shared" si="6"/>
        <v/>
      </c>
      <c r="AH124" s="1" t="str">
        <f t="shared" si="7"/>
        <v/>
      </c>
      <c r="AI124" s="1" t="str">
        <f>IF(AH124="", "", SUM($AH$4:AH124))</f>
        <v/>
      </c>
      <c r="AJ124" s="9"/>
    </row>
    <row r="125" spans="1:36">
      <c r="A125" s="7"/>
      <c r="W125" s="1" t="str">
        <f>IF(Table1[[#This Row],[WHRS NET KW TOTAL]]="","", Table1[[#This Row],[WHRS NET KW TOTAL]]-U124)</f>
        <v/>
      </c>
      <c r="X125" s="6">
        <f>Table1[[#This Row],[WHRS  KW TOTAL]]-V124</f>
        <v>0</v>
      </c>
      <c r="Y125" s="6" t="b">
        <f>IF(AND(Table1[[#This Row],[WHRS KW RECOVERED PER DAY]]&lt;&gt;0,Table1[[#This Row],[WHRS RH]]&lt;&gt;0),ROUND(Table1[[#This Row],[WHRS KW RECOVERED PER DAY]]/Table1[[#This Row],[WHRS RH]],1))</f>
        <v>0</v>
      </c>
      <c r="Z125" s="8"/>
      <c r="AA125" s="1"/>
      <c r="AB125" s="1"/>
      <c r="AC125" s="1"/>
      <c r="AD125" s="1"/>
      <c r="AE125" s="1"/>
      <c r="AF125" s="1" t="str">
        <f t="shared" si="5"/>
        <v/>
      </c>
      <c r="AG125" s="1" t="str">
        <f t="shared" si="6"/>
        <v/>
      </c>
      <c r="AH125" s="1" t="str">
        <f t="shared" si="7"/>
        <v/>
      </c>
      <c r="AI125" s="1" t="str">
        <f>IF(AH125="", "", SUM($AH$4:AH125))</f>
        <v/>
      </c>
      <c r="AJ125" s="9"/>
    </row>
    <row r="126" spans="1:36">
      <c r="A126" s="7"/>
      <c r="W126" s="1" t="str">
        <f>IF(Table1[[#This Row],[WHRS NET KW TOTAL]]="","", Table1[[#This Row],[WHRS NET KW TOTAL]]-U125)</f>
        <v/>
      </c>
      <c r="X126" s="6">
        <f>Table1[[#This Row],[WHRS  KW TOTAL]]-V125</f>
        <v>0</v>
      </c>
      <c r="Y126" s="6"/>
      <c r="Z126" s="8"/>
      <c r="AA126" s="1"/>
      <c r="AB126" s="1"/>
      <c r="AC126" s="1"/>
      <c r="AD126" s="1"/>
      <c r="AE126" s="1"/>
      <c r="AF126" s="1" t="str">
        <f t="shared" si="5"/>
        <v/>
      </c>
      <c r="AG126" s="1" t="str">
        <f t="shared" si="6"/>
        <v/>
      </c>
      <c r="AH126" s="1" t="str">
        <f t="shared" si="7"/>
        <v/>
      </c>
      <c r="AI126" s="1" t="str">
        <f>IF(AH126="", "", SUM($AH$4:AH126))</f>
        <v/>
      </c>
      <c r="AJ126" s="9"/>
    </row>
    <row r="127" spans="1:36">
      <c r="A127" s="7"/>
      <c r="W127" s="1" t="str">
        <f>IF(Table1[[#This Row],[WHRS NET KW TOTAL]]="","", Table1[[#This Row],[WHRS NET KW TOTAL]]-U126)</f>
        <v/>
      </c>
      <c r="X127" s="6">
        <f>Table1[[#This Row],[WHRS  KW TOTAL]]-V126</f>
        <v>0</v>
      </c>
      <c r="Y127" s="6" t="b">
        <f>IF(AND(Table1[[#This Row],[WHRS KW RECOVERED PER DAY]]&lt;&gt;0,Table1[[#This Row],[WHRS RH]]&lt;&gt;0),ROUND(Table1[[#This Row],[WHRS KW RECOVERED PER DAY]]/Table1[[#This Row],[WHRS RH]],1))</f>
        <v>0</v>
      </c>
      <c r="Z127" s="8"/>
      <c r="AA127" s="1"/>
      <c r="AB127" s="1"/>
      <c r="AC127" s="1"/>
      <c r="AD127" s="1"/>
      <c r="AE127" s="1"/>
      <c r="AF127" s="1" t="str">
        <f t="shared" si="5"/>
        <v/>
      </c>
      <c r="AG127" s="1" t="str">
        <f t="shared" si="6"/>
        <v/>
      </c>
      <c r="AH127" s="1" t="str">
        <f t="shared" si="7"/>
        <v/>
      </c>
      <c r="AI127" s="1" t="str">
        <f>IF(AH127="", "", SUM($AH$4:AH127))</f>
        <v/>
      </c>
      <c r="AJ127" s="9"/>
    </row>
    <row r="128" spans="1:36">
      <c r="A128" s="7"/>
      <c r="W128" s="1" t="str">
        <f>IF(Table1[[#This Row],[WHRS NET KW TOTAL]]="","", Table1[[#This Row],[WHRS NET KW TOTAL]]-U127)</f>
        <v/>
      </c>
      <c r="X128" s="6">
        <f>Table1[[#This Row],[WHRS  KW TOTAL]]-V127</f>
        <v>0</v>
      </c>
      <c r="Y128" s="6" t="b">
        <f>IF(AND(Table1[[#This Row],[WHRS KW RECOVERED PER DAY]]&lt;&gt;0,Table1[[#This Row],[WHRS RH]]&lt;&gt;0),ROUND(Table1[[#This Row],[WHRS KW RECOVERED PER DAY]]/Table1[[#This Row],[WHRS RH]],1))</f>
        <v>0</v>
      </c>
      <c r="Z128" s="8"/>
      <c r="AA128" s="1"/>
      <c r="AB128" s="1"/>
      <c r="AC128" s="1"/>
      <c r="AD128" s="1"/>
      <c r="AE128" s="1"/>
      <c r="AF128" s="1" t="str">
        <f t="shared" si="5"/>
        <v/>
      </c>
      <c r="AG128" s="1" t="str">
        <f t="shared" si="6"/>
        <v/>
      </c>
      <c r="AH128" s="1" t="str">
        <f t="shared" si="7"/>
        <v/>
      </c>
      <c r="AI128" s="1" t="str">
        <f>IF(AH128="", "", SUM($AH$4:AH128))</f>
        <v/>
      </c>
      <c r="AJ128" s="9"/>
    </row>
    <row r="129" spans="1:36">
      <c r="A129" s="7"/>
      <c r="W129" s="1" t="str">
        <f>IF(Table1[[#This Row],[WHRS NET KW TOTAL]]="","", Table1[[#This Row],[WHRS NET KW TOTAL]]-U128)</f>
        <v/>
      </c>
      <c r="X129" s="6">
        <f>Table1[[#This Row],[WHRS  KW TOTAL]]-V128</f>
        <v>0</v>
      </c>
      <c r="Y129" s="6" t="b">
        <f>IF(AND(Table1[[#This Row],[WHRS KW RECOVERED PER DAY]]&lt;&gt;0,Table1[[#This Row],[WHRS RH]]&lt;&gt;0),ROUND(Table1[[#This Row],[WHRS KW RECOVERED PER DAY]]/Table1[[#This Row],[WHRS RH]],1))</f>
        <v>0</v>
      </c>
      <c r="Z129" s="8"/>
      <c r="AA129" s="1"/>
      <c r="AB129" s="1"/>
      <c r="AC129" s="1"/>
      <c r="AD129" s="1"/>
      <c r="AE129" s="1"/>
      <c r="AF129" s="1" t="str">
        <f t="shared" si="5"/>
        <v/>
      </c>
      <c r="AG129" s="1" t="str">
        <f t="shared" si="6"/>
        <v/>
      </c>
      <c r="AH129" s="1" t="str">
        <f t="shared" si="7"/>
        <v/>
      </c>
      <c r="AI129" s="1" t="str">
        <f>IF(AH129="", "", SUM($AH$4:AH129))</f>
        <v/>
      </c>
      <c r="AJ129" s="9"/>
    </row>
    <row r="130" spans="1:36">
      <c r="A130" s="7"/>
      <c r="W130" s="1" t="str">
        <f>IF(Table1[[#This Row],[WHRS NET KW TOTAL]]="","", Table1[[#This Row],[WHRS NET KW TOTAL]]-U129)</f>
        <v/>
      </c>
      <c r="X130" s="6">
        <f>Table1[[#This Row],[WHRS  KW TOTAL]]-V129</f>
        <v>0</v>
      </c>
      <c r="Y130" s="6" t="b">
        <f>IF(AND(Table1[[#This Row],[WHRS KW RECOVERED PER DAY]]&lt;&gt;0,Table1[[#This Row],[WHRS RH]]&lt;&gt;0),ROUND(Table1[[#This Row],[WHRS KW RECOVERED PER DAY]]/Table1[[#This Row],[WHRS RH]],1))</f>
        <v>0</v>
      </c>
      <c r="Z130" s="8"/>
      <c r="AA130" s="1"/>
      <c r="AB130" s="1"/>
      <c r="AC130" s="1"/>
      <c r="AD130" s="1"/>
      <c r="AE130" s="1"/>
      <c r="AF130" s="1" t="str">
        <f t="shared" si="5"/>
        <v/>
      </c>
      <c r="AG130" s="1" t="str">
        <f t="shared" si="6"/>
        <v/>
      </c>
      <c r="AH130" s="1" t="str">
        <f t="shared" si="7"/>
        <v/>
      </c>
      <c r="AI130" s="1" t="str">
        <f>IF(AH130="", "", SUM($AH$4:AH130))</f>
        <v/>
      </c>
      <c r="AJ130" s="9"/>
    </row>
    <row r="131" spans="1:36">
      <c r="A131" s="7"/>
      <c r="W131" s="1" t="str">
        <f>IF(Table1[[#This Row],[WHRS NET KW TOTAL]]="","", Table1[[#This Row],[WHRS NET KW TOTAL]]-U130)</f>
        <v/>
      </c>
      <c r="X131" s="6">
        <f>Table1[[#This Row],[WHRS  KW TOTAL]]-V130</f>
        <v>0</v>
      </c>
      <c r="Y131" s="6" t="b">
        <f>IF(AND(Table1[[#This Row],[WHRS KW RECOVERED PER DAY]]&lt;&gt;0,Table1[[#This Row],[WHRS RH]]&lt;&gt;0),ROUND(Table1[[#This Row],[WHRS KW RECOVERED PER DAY]]/Table1[[#This Row],[WHRS RH]],1))</f>
        <v>0</v>
      </c>
      <c r="Z131" s="8"/>
      <c r="AA131" s="1"/>
      <c r="AB131" s="1"/>
      <c r="AC131" s="1"/>
      <c r="AD131" s="1"/>
      <c r="AE131" s="1"/>
      <c r="AF131" s="1" t="str">
        <f t="shared" si="5"/>
        <v/>
      </c>
      <c r="AG131" s="1" t="str">
        <f t="shared" si="6"/>
        <v/>
      </c>
      <c r="AH131" s="1" t="str">
        <f t="shared" si="7"/>
        <v/>
      </c>
      <c r="AI131" s="1" t="str">
        <f>IF(AH131="", "", SUM($AH$4:AH131))</f>
        <v/>
      </c>
      <c r="AJ131" s="9"/>
    </row>
    <row r="132" spans="1:36">
      <c r="A132" s="7"/>
      <c r="W132" s="1" t="str">
        <f>IF(Table1[[#This Row],[WHRS NET KW TOTAL]]="","", Table1[[#This Row],[WHRS NET KW TOTAL]]-U131)</f>
        <v/>
      </c>
      <c r="X132" s="6">
        <f>Table1[[#This Row],[WHRS  KW TOTAL]]-V131</f>
        <v>0</v>
      </c>
      <c r="Y132" s="6" t="b">
        <f>IF(AND(Table1[[#This Row],[WHRS KW RECOVERED PER DAY]]&lt;&gt;0,Table1[[#This Row],[WHRS RH]]&lt;&gt;0),ROUND(Table1[[#This Row],[WHRS KW RECOVERED PER DAY]]/Table1[[#This Row],[WHRS RH]],1))</f>
        <v>0</v>
      </c>
      <c r="Z132" s="8"/>
      <c r="AA132" s="1"/>
      <c r="AB132" s="1"/>
      <c r="AC132" s="1"/>
      <c r="AD132" s="1"/>
      <c r="AE132" s="1"/>
      <c r="AF132" s="1" t="str">
        <f t="shared" si="5"/>
        <v/>
      </c>
      <c r="AG132" s="1" t="str">
        <f t="shared" si="6"/>
        <v/>
      </c>
      <c r="AH132" s="1" t="str">
        <f t="shared" si="7"/>
        <v/>
      </c>
      <c r="AI132" s="1" t="str">
        <f>IF(AH132="", "", SUM($AH$4:AH132))</f>
        <v/>
      </c>
      <c r="AJ132" s="11"/>
    </row>
    <row r="133" spans="1:36">
      <c r="A133" s="7"/>
      <c r="W133" s="1" t="str">
        <f>IF(Table1[[#This Row],[WHRS NET KW TOTAL]]="","", Table1[[#This Row],[WHRS NET KW TOTAL]]-U132)</f>
        <v/>
      </c>
      <c r="X133" s="6">
        <f>Table1[[#This Row],[WHRS  KW TOTAL]]-V132</f>
        <v>0</v>
      </c>
      <c r="Y133" s="6" t="b">
        <f>IF(AND(Table1[[#This Row],[WHRS KW RECOVERED PER DAY]]&lt;&gt;0,Table1[[#This Row],[WHRS RH]]&lt;&gt;0),ROUND(Table1[[#This Row],[WHRS KW RECOVERED PER DAY]]/Table1[[#This Row],[WHRS RH]],1))</f>
        <v>0</v>
      </c>
      <c r="Z133" s="8"/>
      <c r="AA133" s="1"/>
      <c r="AB133" s="1"/>
      <c r="AC133" s="1"/>
      <c r="AD133" s="1"/>
      <c r="AE133" s="1"/>
      <c r="AF133" s="1" t="str">
        <f t="shared" ref="AF133:AF196" si="8">IF(TRIM(C133)="", "", IF(TRIM(C133)="LNG", 192.1, 182.4))</f>
        <v/>
      </c>
      <c r="AG133" s="1" t="str">
        <f t="shared" ref="AG133:AG196" si="9">IF(C133="", "", _xlfn.IFS(C133="LNG", 1345, C133="LSMGO", 1280, C133="VLSFO", 820, C133="HSFO", 635, TRUE, ""))</f>
        <v/>
      </c>
      <c r="AH133" s="1" t="str">
        <f t="shared" ref="AH133:AH196" si="10">IF(OR(W133="", AF133="", AG133=""), "", W133 * (AF133 / 1000000) * AG133)</f>
        <v/>
      </c>
      <c r="AI133" s="1" t="str">
        <f>IF(AH133="", "", SUM($AH$4:AH133))</f>
        <v/>
      </c>
      <c r="AJ133" s="11"/>
    </row>
    <row r="134" spans="1:36">
      <c r="A134" s="7"/>
      <c r="W134" s="1" t="str">
        <f>IF(Table1[[#This Row],[WHRS NET KW TOTAL]]="","", Table1[[#This Row],[WHRS NET KW TOTAL]]-U133)</f>
        <v/>
      </c>
      <c r="X134" s="6">
        <f>Table1[[#This Row],[WHRS  KW TOTAL]]-V133</f>
        <v>0</v>
      </c>
      <c r="Y134" s="6" t="b">
        <f>IF(AND(Table1[[#This Row],[WHRS KW RECOVERED PER DAY]]&lt;&gt;0,Table1[[#This Row],[WHRS RH]]&lt;&gt;0),ROUND(Table1[[#This Row],[WHRS KW RECOVERED PER DAY]]/Table1[[#This Row],[WHRS RH]],1))</f>
        <v>0</v>
      </c>
      <c r="Z134" s="8"/>
      <c r="AA134" s="1"/>
      <c r="AB134" s="1"/>
      <c r="AC134" s="1"/>
      <c r="AD134" s="1"/>
      <c r="AE134" s="1"/>
      <c r="AF134" s="1" t="str">
        <f t="shared" si="8"/>
        <v/>
      </c>
      <c r="AG134" s="1" t="str">
        <f t="shared" si="9"/>
        <v/>
      </c>
      <c r="AH134" s="1" t="str">
        <f t="shared" si="10"/>
        <v/>
      </c>
      <c r="AI134" s="1" t="str">
        <f>IF(AH134="", "", SUM($AH$4:AH134))</f>
        <v/>
      </c>
      <c r="AJ134" s="9"/>
    </row>
    <row r="135" spans="1:36">
      <c r="A135" s="7"/>
      <c r="T135" s="8"/>
      <c r="W135" s="1" t="str">
        <f>IF(Table1[[#This Row],[WHRS NET KW TOTAL]]="","", Table1[[#This Row],[WHRS NET KW TOTAL]]-U134)</f>
        <v/>
      </c>
      <c r="X135" s="6">
        <f>Table1[[#This Row],[WHRS  KW TOTAL]]-V134</f>
        <v>0</v>
      </c>
      <c r="Y135" s="6" t="b">
        <f>IF(AND(Table1[[#This Row],[WHRS KW RECOVERED PER DAY]]&lt;&gt;0,Table1[[#This Row],[WHRS RH]]&lt;&gt;0),ROUND(Table1[[#This Row],[WHRS KW RECOVERED PER DAY]]/Table1[[#This Row],[WHRS RH]],1))</f>
        <v>0</v>
      </c>
      <c r="Z135" s="8"/>
      <c r="AA135" s="1"/>
      <c r="AB135" s="1"/>
      <c r="AC135" s="1"/>
      <c r="AD135" s="1"/>
      <c r="AE135" s="1"/>
      <c r="AF135" s="1" t="str">
        <f t="shared" si="8"/>
        <v/>
      </c>
      <c r="AG135" s="1" t="str">
        <f t="shared" si="9"/>
        <v/>
      </c>
      <c r="AH135" s="1" t="str">
        <f t="shared" si="10"/>
        <v/>
      </c>
      <c r="AI135" s="1" t="str">
        <f>IF(AH135="", "", SUM($AH$4:AH135))</f>
        <v/>
      </c>
      <c r="AJ135" s="11"/>
    </row>
    <row r="136" spans="1:36">
      <c r="A136" s="7"/>
      <c r="T136" s="8"/>
      <c r="W136" s="1" t="str">
        <f>IF(Table1[[#This Row],[WHRS NET KW TOTAL]]="","", Table1[[#This Row],[WHRS NET KW TOTAL]]-U135)</f>
        <v/>
      </c>
      <c r="X136" s="6">
        <f>Table1[[#This Row],[WHRS  KW TOTAL]]-V135</f>
        <v>0</v>
      </c>
      <c r="Y136" s="6" t="b">
        <f>IF(AND(Table1[[#This Row],[WHRS KW RECOVERED PER DAY]]&lt;&gt;0,Table1[[#This Row],[WHRS RH]]&lt;&gt;0),ROUND(Table1[[#This Row],[WHRS KW RECOVERED PER DAY]]/Table1[[#This Row],[WHRS RH]],1))</f>
        <v>0</v>
      </c>
      <c r="Z136" s="8"/>
      <c r="AA136" s="1"/>
      <c r="AB136" s="1"/>
      <c r="AC136" s="1"/>
      <c r="AD136" s="1"/>
      <c r="AE136" s="1"/>
      <c r="AF136" s="1" t="str">
        <f t="shared" si="8"/>
        <v/>
      </c>
      <c r="AG136" s="1" t="str">
        <f t="shared" si="9"/>
        <v/>
      </c>
      <c r="AH136" s="1" t="str">
        <f t="shared" si="10"/>
        <v/>
      </c>
      <c r="AI136" s="1" t="str">
        <f>IF(AH136="", "", SUM($AH$4:AH136))</f>
        <v/>
      </c>
      <c r="AJ136" s="9"/>
    </row>
    <row r="137" spans="1:36">
      <c r="A137" s="7"/>
      <c r="W137" s="1" t="str">
        <f>IF(Table1[[#This Row],[WHRS NET KW TOTAL]]="","", Table1[[#This Row],[WHRS NET KW TOTAL]]-U136)</f>
        <v/>
      </c>
      <c r="X137" s="6">
        <f>Table1[[#This Row],[WHRS  KW TOTAL]]-V136</f>
        <v>0</v>
      </c>
      <c r="Y137" s="6" t="b">
        <f>IF(AND(Table1[[#This Row],[WHRS KW RECOVERED PER DAY]]&lt;&gt;0,Table1[[#This Row],[WHRS RH]]&lt;&gt;0),ROUND(Table1[[#This Row],[WHRS KW RECOVERED PER DAY]]/Table1[[#This Row],[WHRS RH]],1))</f>
        <v>0</v>
      </c>
      <c r="Z137" s="8"/>
      <c r="AA137" s="1"/>
      <c r="AB137" s="1"/>
      <c r="AC137" s="1"/>
      <c r="AD137" s="1"/>
      <c r="AE137" s="1"/>
      <c r="AF137" s="1" t="str">
        <f t="shared" si="8"/>
        <v/>
      </c>
      <c r="AG137" s="1" t="str">
        <f t="shared" si="9"/>
        <v/>
      </c>
      <c r="AH137" s="1" t="str">
        <f t="shared" si="10"/>
        <v/>
      </c>
      <c r="AI137" s="1" t="str">
        <f>IF(AH137="", "", SUM($AH$4:AH137))</f>
        <v/>
      </c>
      <c r="AJ137" s="9"/>
    </row>
    <row r="138" spans="1:36">
      <c r="A138" s="7"/>
      <c r="W138" s="1" t="str">
        <f>IF(Table1[[#This Row],[WHRS NET KW TOTAL]]="","", Table1[[#This Row],[WHRS NET KW TOTAL]]-U137)</f>
        <v/>
      </c>
      <c r="X138" s="6">
        <f>Table1[[#This Row],[WHRS  KW TOTAL]]-V137</f>
        <v>0</v>
      </c>
      <c r="Y138" s="6" t="b">
        <f>IF(AND(Table1[[#This Row],[WHRS KW RECOVERED PER DAY]]&lt;&gt;0,Table1[[#This Row],[WHRS RH]]&lt;&gt;0),ROUND(Table1[[#This Row],[WHRS KW RECOVERED PER DAY]]/Table1[[#This Row],[WHRS RH]],1))</f>
        <v>0</v>
      </c>
      <c r="Z138" s="8"/>
      <c r="AA138" s="1"/>
      <c r="AB138" s="1"/>
      <c r="AC138" s="1"/>
      <c r="AD138" s="1"/>
      <c r="AE138" s="1"/>
      <c r="AF138" s="1" t="str">
        <f t="shared" si="8"/>
        <v/>
      </c>
      <c r="AG138" s="1" t="str">
        <f t="shared" si="9"/>
        <v/>
      </c>
      <c r="AH138" s="1" t="str">
        <f t="shared" si="10"/>
        <v/>
      </c>
      <c r="AI138" s="1" t="str">
        <f>IF(AH138="", "", SUM($AH$4:AH138))</f>
        <v/>
      </c>
      <c r="AJ138" s="9"/>
    </row>
    <row r="139" spans="1:36">
      <c r="A139" s="7"/>
      <c r="W139" s="1" t="str">
        <f>IF(Table1[[#This Row],[WHRS NET KW TOTAL]]="","", Table1[[#This Row],[WHRS NET KW TOTAL]]-U138)</f>
        <v/>
      </c>
      <c r="X139" s="6">
        <f>Table1[[#This Row],[WHRS  KW TOTAL]]-V138</f>
        <v>0</v>
      </c>
      <c r="Y139" s="6" t="b">
        <f>IF(AND(Table1[[#This Row],[WHRS KW RECOVERED PER DAY]]&lt;&gt;0,Table1[[#This Row],[WHRS RH]]&lt;&gt;0),ROUND(Table1[[#This Row],[WHRS KW RECOVERED PER DAY]]/Table1[[#This Row],[WHRS RH]],1))</f>
        <v>0</v>
      </c>
      <c r="Z139" s="8"/>
      <c r="AA139" s="1"/>
      <c r="AB139" s="1"/>
      <c r="AC139" s="1"/>
      <c r="AD139" s="1"/>
      <c r="AE139" s="1"/>
      <c r="AF139" s="1" t="str">
        <f t="shared" si="8"/>
        <v/>
      </c>
      <c r="AG139" s="1" t="str">
        <f t="shared" si="9"/>
        <v/>
      </c>
      <c r="AH139" s="1" t="str">
        <f t="shared" si="10"/>
        <v/>
      </c>
      <c r="AI139" s="1" t="str">
        <f>IF(AH139="", "", SUM($AH$4:AH139))</f>
        <v/>
      </c>
      <c r="AJ139" s="9"/>
    </row>
    <row r="140" spans="1:36">
      <c r="A140" s="7"/>
      <c r="W140" s="1" t="str">
        <f>IF(Table1[[#This Row],[WHRS NET KW TOTAL]]="","", Table1[[#This Row],[WHRS NET KW TOTAL]]-U139)</f>
        <v/>
      </c>
      <c r="X140" s="6">
        <f>Table1[[#This Row],[WHRS  KW TOTAL]]-V139</f>
        <v>0</v>
      </c>
      <c r="Y140" s="6" t="b">
        <f>IF(AND(Table1[[#This Row],[WHRS KW RECOVERED PER DAY]]&lt;&gt;0,Table1[[#This Row],[WHRS RH]]&lt;&gt;0),ROUND(Table1[[#This Row],[WHRS KW RECOVERED PER DAY]]/Table1[[#This Row],[WHRS RH]],1))</f>
        <v>0</v>
      </c>
      <c r="Z140" s="8"/>
      <c r="AA140" s="1"/>
      <c r="AB140" s="1"/>
      <c r="AC140" s="1"/>
      <c r="AD140" s="1"/>
      <c r="AE140" s="1"/>
      <c r="AF140" s="1" t="str">
        <f t="shared" si="8"/>
        <v/>
      </c>
      <c r="AG140" s="1" t="str">
        <f t="shared" si="9"/>
        <v/>
      </c>
      <c r="AH140" s="1" t="str">
        <f t="shared" si="10"/>
        <v/>
      </c>
      <c r="AI140" s="1" t="str">
        <f>IF(AH140="", "", SUM($AH$4:AH140))</f>
        <v/>
      </c>
      <c r="AJ140" s="9"/>
    </row>
    <row r="141" spans="1:36">
      <c r="A141" s="7"/>
      <c r="W141" s="1" t="str">
        <f>IF(Table1[[#This Row],[WHRS NET KW TOTAL]]="","", Table1[[#This Row],[WHRS NET KW TOTAL]]-U140)</f>
        <v/>
      </c>
      <c r="X141" s="6">
        <f>Table1[[#This Row],[WHRS  KW TOTAL]]-V140</f>
        <v>0</v>
      </c>
      <c r="Y141" s="6" t="b">
        <f>IF(AND(Table1[[#This Row],[WHRS KW RECOVERED PER DAY]]&lt;&gt;0,Table1[[#This Row],[WHRS RH]]&lt;&gt;0),ROUND(Table1[[#This Row],[WHRS KW RECOVERED PER DAY]]/Table1[[#This Row],[WHRS RH]],1))</f>
        <v>0</v>
      </c>
      <c r="Z141" s="8"/>
      <c r="AA141" s="1"/>
      <c r="AB141" s="1"/>
      <c r="AC141" s="1"/>
      <c r="AD141" s="1"/>
      <c r="AE141" s="1"/>
      <c r="AF141" s="1" t="str">
        <f t="shared" si="8"/>
        <v/>
      </c>
      <c r="AG141" s="1" t="str">
        <f t="shared" si="9"/>
        <v/>
      </c>
      <c r="AH141" s="1" t="str">
        <f t="shared" si="10"/>
        <v/>
      </c>
      <c r="AI141" s="1" t="str">
        <f>IF(AH141="", "", SUM($AH$4:AH141))</f>
        <v/>
      </c>
      <c r="AJ141" s="11"/>
    </row>
    <row r="142" spans="1:36">
      <c r="A142" s="7"/>
      <c r="W142" s="1" t="str">
        <f>IF(Table1[[#This Row],[WHRS NET KW TOTAL]]="","", Table1[[#This Row],[WHRS NET KW TOTAL]]-U141)</f>
        <v/>
      </c>
      <c r="X142" s="6">
        <f>Table1[[#This Row],[WHRS  KW TOTAL]]-V141</f>
        <v>0</v>
      </c>
      <c r="Y142" s="6" t="b">
        <f>IF(AND(Table1[[#This Row],[WHRS KW RECOVERED PER DAY]]&lt;&gt;0,Table1[[#This Row],[WHRS RH]]&lt;&gt;0),ROUND(Table1[[#This Row],[WHRS KW RECOVERED PER DAY]]/Table1[[#This Row],[WHRS RH]],1))</f>
        <v>0</v>
      </c>
      <c r="Z142" s="8"/>
      <c r="AA142" s="1"/>
      <c r="AB142" s="1"/>
      <c r="AC142" s="1"/>
      <c r="AD142" s="1"/>
      <c r="AE142" s="1"/>
      <c r="AF142" s="1" t="str">
        <f t="shared" si="8"/>
        <v/>
      </c>
      <c r="AG142" s="1" t="str">
        <f t="shared" si="9"/>
        <v/>
      </c>
      <c r="AH142" s="1" t="str">
        <f t="shared" si="10"/>
        <v/>
      </c>
      <c r="AI142" s="1" t="str">
        <f>IF(AH142="", "", SUM($AH$4:AH142))</f>
        <v/>
      </c>
      <c r="AJ142" s="11"/>
    </row>
    <row r="143" spans="1:36">
      <c r="A143" s="7"/>
      <c r="W143" s="1" t="str">
        <f>IF(Table1[[#This Row],[WHRS NET KW TOTAL]]="","", Table1[[#This Row],[WHRS NET KW TOTAL]]-U142)</f>
        <v/>
      </c>
      <c r="X143" s="6">
        <f>Table1[[#This Row],[WHRS  KW TOTAL]]-V142</f>
        <v>0</v>
      </c>
      <c r="Y143" s="6" t="b">
        <f>IF(AND(Table1[[#This Row],[WHRS KW RECOVERED PER DAY]]&lt;&gt;0,Table1[[#This Row],[WHRS RH]]&lt;&gt;0),ROUND(Table1[[#This Row],[WHRS KW RECOVERED PER DAY]]/Table1[[#This Row],[WHRS RH]],1))</f>
        <v>0</v>
      </c>
      <c r="Z143" s="8"/>
      <c r="AA143" s="1"/>
      <c r="AB143" s="1"/>
      <c r="AC143" s="1"/>
      <c r="AD143" s="1"/>
      <c r="AE143" s="1"/>
      <c r="AF143" s="1" t="str">
        <f t="shared" si="8"/>
        <v/>
      </c>
      <c r="AG143" s="1" t="str">
        <f t="shared" si="9"/>
        <v/>
      </c>
      <c r="AH143" s="1" t="str">
        <f t="shared" si="10"/>
        <v/>
      </c>
      <c r="AI143" s="1" t="str">
        <f>IF(AH143="", "", SUM($AH$4:AH143))</f>
        <v/>
      </c>
      <c r="AJ143" s="9"/>
    </row>
    <row r="144" spans="1:36">
      <c r="A144" s="7"/>
      <c r="W144" s="1" t="str">
        <f>IF(Table1[[#This Row],[WHRS NET KW TOTAL]]="","", Table1[[#This Row],[WHRS NET KW TOTAL]]-U143)</f>
        <v/>
      </c>
      <c r="X144" s="6">
        <f>Table1[[#This Row],[WHRS  KW TOTAL]]-V143</f>
        <v>0</v>
      </c>
      <c r="Y144" s="6" t="b">
        <f>IF(AND(Table1[[#This Row],[WHRS KW RECOVERED PER DAY]]&lt;&gt;0,Table1[[#This Row],[WHRS RH]]&lt;&gt;0),ROUND(Table1[[#This Row],[WHRS KW RECOVERED PER DAY]]/Table1[[#This Row],[WHRS RH]],1))</f>
        <v>0</v>
      </c>
      <c r="Z144" s="8"/>
      <c r="AA144" s="1"/>
      <c r="AB144" s="1"/>
      <c r="AC144" s="1"/>
      <c r="AD144" s="1"/>
      <c r="AE144" s="1"/>
      <c r="AF144" s="1" t="str">
        <f t="shared" si="8"/>
        <v/>
      </c>
      <c r="AG144" s="1" t="str">
        <f t="shared" si="9"/>
        <v/>
      </c>
      <c r="AH144" s="1" t="str">
        <f t="shared" si="10"/>
        <v/>
      </c>
      <c r="AI144" s="1" t="str">
        <f>IF(AH144="", "", SUM($AH$4:AH144))</f>
        <v/>
      </c>
      <c r="AJ144" s="11"/>
    </row>
    <row r="145" spans="1:36">
      <c r="A145" s="7"/>
      <c r="W145" s="1" t="str">
        <f>IF(Table1[[#This Row],[WHRS NET KW TOTAL]]="","", Table1[[#This Row],[WHRS NET KW TOTAL]]-U144)</f>
        <v/>
      </c>
      <c r="X145" s="6">
        <f>Table1[[#This Row],[WHRS  KW TOTAL]]-V144</f>
        <v>0</v>
      </c>
      <c r="Y145" s="6" t="b">
        <f>IF(AND(Table1[[#This Row],[WHRS KW RECOVERED PER DAY]]&lt;&gt;0,Table1[[#This Row],[WHRS RH]]&lt;&gt;0),ROUND(Table1[[#This Row],[WHRS KW RECOVERED PER DAY]]/Table1[[#This Row],[WHRS RH]],1))</f>
        <v>0</v>
      </c>
      <c r="Z145" s="8"/>
      <c r="AA145" s="1"/>
      <c r="AB145" s="1"/>
      <c r="AC145" s="1"/>
      <c r="AD145" s="1"/>
      <c r="AE145" s="1"/>
      <c r="AF145" s="1" t="str">
        <f t="shared" si="8"/>
        <v/>
      </c>
      <c r="AG145" s="1" t="str">
        <f t="shared" si="9"/>
        <v/>
      </c>
      <c r="AH145" s="1" t="str">
        <f t="shared" si="10"/>
        <v/>
      </c>
      <c r="AI145" s="1" t="str">
        <f>IF(AH145="", "", SUM($AH$4:AH145))</f>
        <v/>
      </c>
      <c r="AJ145" s="11"/>
    </row>
    <row r="146" spans="1:36">
      <c r="A146" s="7"/>
      <c r="W146" s="1" t="str">
        <f>IF(Table1[[#This Row],[WHRS NET KW TOTAL]]="","", Table1[[#This Row],[WHRS NET KW TOTAL]]-U145)</f>
        <v/>
      </c>
      <c r="X146" s="6">
        <f>Table1[[#This Row],[WHRS  KW TOTAL]]-V145</f>
        <v>0</v>
      </c>
      <c r="Y146" s="6" t="b">
        <f>IF(AND(Table1[[#This Row],[WHRS KW RECOVERED PER DAY]]&lt;&gt;0,Table1[[#This Row],[WHRS RH]]&lt;&gt;0),ROUND(Table1[[#This Row],[WHRS KW RECOVERED PER DAY]]/Table1[[#This Row],[WHRS RH]],1))</f>
        <v>0</v>
      </c>
      <c r="Z146" s="8"/>
      <c r="AA146" s="1"/>
      <c r="AB146" s="1"/>
      <c r="AC146" s="1"/>
      <c r="AD146" s="1"/>
      <c r="AE146" s="1"/>
      <c r="AF146" s="1" t="str">
        <f t="shared" si="8"/>
        <v/>
      </c>
      <c r="AG146" s="1" t="str">
        <f t="shared" si="9"/>
        <v/>
      </c>
      <c r="AH146" s="1" t="str">
        <f t="shared" si="10"/>
        <v/>
      </c>
      <c r="AI146" s="1" t="str">
        <f>IF(AH146="", "", SUM($AH$4:AH146))</f>
        <v/>
      </c>
      <c r="AJ146" s="9"/>
    </row>
    <row r="147" spans="1:36">
      <c r="A147" s="7"/>
      <c r="W147" s="1" t="str">
        <f>IF(Table1[[#This Row],[WHRS NET KW TOTAL]]="","", Table1[[#This Row],[WHRS NET KW TOTAL]]-U146)</f>
        <v/>
      </c>
      <c r="X147" s="6">
        <f>Table1[[#This Row],[WHRS  KW TOTAL]]-V146</f>
        <v>0</v>
      </c>
      <c r="Y147" s="6" t="b">
        <f>IF(AND(Table1[[#This Row],[WHRS KW RECOVERED PER DAY]]&lt;&gt;0,Table1[[#This Row],[WHRS RH]]&lt;&gt;0),ROUND(Table1[[#This Row],[WHRS KW RECOVERED PER DAY]]/Table1[[#This Row],[WHRS RH]],1))</f>
        <v>0</v>
      </c>
      <c r="Z147" s="8"/>
      <c r="AA147" s="1"/>
      <c r="AB147" s="1"/>
      <c r="AC147" s="1"/>
      <c r="AD147" s="1"/>
      <c r="AE147" s="1"/>
      <c r="AF147" s="1" t="str">
        <f t="shared" si="8"/>
        <v/>
      </c>
      <c r="AG147" s="1" t="str">
        <f t="shared" si="9"/>
        <v/>
      </c>
      <c r="AH147" s="1" t="str">
        <f t="shared" si="10"/>
        <v/>
      </c>
      <c r="AI147" s="1" t="str">
        <f>IF(AH147="", "", SUM($AH$4:AH147))</f>
        <v/>
      </c>
      <c r="AJ147" s="11"/>
    </row>
    <row r="148" spans="1:36">
      <c r="A148" s="7"/>
      <c r="W148" s="1" t="str">
        <f>IF(Table1[[#This Row],[WHRS NET KW TOTAL]]="","", Table1[[#This Row],[WHRS NET KW TOTAL]]-U147)</f>
        <v/>
      </c>
      <c r="X148" s="6">
        <f>Table1[[#This Row],[WHRS  KW TOTAL]]-V147</f>
        <v>0</v>
      </c>
      <c r="Y148" s="6" t="b">
        <f>IF(AND(Table1[[#This Row],[WHRS KW RECOVERED PER DAY]]&lt;&gt;0,Table1[[#This Row],[WHRS RH]]&lt;&gt;0),ROUND(Table1[[#This Row],[WHRS KW RECOVERED PER DAY]]/Table1[[#This Row],[WHRS RH]],1))</f>
        <v>0</v>
      </c>
      <c r="Z148" s="8"/>
      <c r="AA148" s="1"/>
      <c r="AB148" s="1"/>
      <c r="AC148" s="1"/>
      <c r="AD148" s="1"/>
      <c r="AE148" s="1"/>
      <c r="AF148" s="1" t="str">
        <f t="shared" si="8"/>
        <v/>
      </c>
      <c r="AG148" s="1" t="str">
        <f t="shared" si="9"/>
        <v/>
      </c>
      <c r="AH148" s="1" t="str">
        <f t="shared" si="10"/>
        <v/>
      </c>
      <c r="AI148" s="1" t="str">
        <f>IF(AH148="", "", SUM($AH$4:AH148))</f>
        <v/>
      </c>
      <c r="AJ148" s="11"/>
    </row>
    <row r="149" spans="1:36">
      <c r="A149" s="7"/>
      <c r="W149" s="1" t="str">
        <f>IF(Table1[[#This Row],[WHRS NET KW TOTAL]]="","", Table1[[#This Row],[WHRS NET KW TOTAL]]-U148)</f>
        <v/>
      </c>
      <c r="X149" s="6">
        <f>Table1[[#This Row],[WHRS  KW TOTAL]]-V148</f>
        <v>0</v>
      </c>
      <c r="Y149" s="6" t="b">
        <f>IF(AND(Table1[[#This Row],[WHRS KW RECOVERED PER DAY]]&lt;&gt;0,Table1[[#This Row],[WHRS RH]]&lt;&gt;0),ROUND(Table1[[#This Row],[WHRS KW RECOVERED PER DAY]]/Table1[[#This Row],[WHRS RH]],1))</f>
        <v>0</v>
      </c>
      <c r="Z149" s="8"/>
      <c r="AA149" s="1"/>
      <c r="AB149" s="1"/>
      <c r="AC149" s="1"/>
      <c r="AD149" s="1"/>
      <c r="AE149" s="1"/>
      <c r="AF149" s="1" t="str">
        <f t="shared" si="8"/>
        <v/>
      </c>
      <c r="AG149" s="1" t="str">
        <f t="shared" si="9"/>
        <v/>
      </c>
      <c r="AH149" s="1" t="str">
        <f t="shared" si="10"/>
        <v/>
      </c>
      <c r="AI149" s="1" t="str">
        <f>IF(AH149="", "", SUM($AH$4:AH149))</f>
        <v/>
      </c>
      <c r="AJ149" s="9"/>
    </row>
    <row r="150" spans="1:36">
      <c r="A150" s="7"/>
      <c r="W150" s="1" t="str">
        <f>IF(Table1[[#This Row],[WHRS NET KW TOTAL]]="","", Table1[[#This Row],[WHRS NET KW TOTAL]]-U149)</f>
        <v/>
      </c>
      <c r="X150" s="6">
        <f>Table1[[#This Row],[WHRS  KW TOTAL]]-V149</f>
        <v>0</v>
      </c>
      <c r="Y150" s="6" t="b">
        <f>IF(AND(Table1[[#This Row],[WHRS KW RECOVERED PER DAY]]&lt;&gt;0,Table1[[#This Row],[WHRS RH]]&lt;&gt;0),ROUND(Table1[[#This Row],[WHRS KW RECOVERED PER DAY]]/Table1[[#This Row],[WHRS RH]],1))</f>
        <v>0</v>
      </c>
      <c r="Z150" s="8"/>
      <c r="AA150" s="1"/>
      <c r="AB150" s="1"/>
      <c r="AC150" s="1"/>
      <c r="AD150" s="1"/>
      <c r="AE150" s="1"/>
      <c r="AF150" s="1" t="str">
        <f t="shared" si="8"/>
        <v/>
      </c>
      <c r="AG150" s="1" t="str">
        <f t="shared" si="9"/>
        <v/>
      </c>
      <c r="AH150" s="1" t="str">
        <f t="shared" si="10"/>
        <v/>
      </c>
      <c r="AI150" s="1" t="str">
        <f>IF(AH150="", "", SUM($AH$4:AH150))</f>
        <v/>
      </c>
      <c r="AJ150" s="11"/>
    </row>
    <row r="151" spans="1:36">
      <c r="A151" s="7"/>
      <c r="W151" s="1" t="str">
        <f>IF(Table1[[#This Row],[WHRS NET KW TOTAL]]="","", Table1[[#This Row],[WHRS NET KW TOTAL]]-U150)</f>
        <v/>
      </c>
      <c r="X151" s="6">
        <f>Table1[[#This Row],[WHRS  KW TOTAL]]-V150</f>
        <v>0</v>
      </c>
      <c r="Y151" s="6" t="b">
        <f>IF(AND(Table1[[#This Row],[WHRS KW RECOVERED PER DAY]]&lt;&gt;0,Table1[[#This Row],[WHRS RH]]&lt;&gt;0),ROUND(Table1[[#This Row],[WHRS KW RECOVERED PER DAY]]/Table1[[#This Row],[WHRS RH]],1))</f>
        <v>0</v>
      </c>
      <c r="Z151" s="8"/>
      <c r="AA151" s="1"/>
      <c r="AB151" s="1"/>
      <c r="AC151" s="1"/>
      <c r="AD151" s="1"/>
      <c r="AE151" s="1"/>
      <c r="AF151" s="1" t="str">
        <f t="shared" si="8"/>
        <v/>
      </c>
      <c r="AG151" s="1" t="str">
        <f t="shared" si="9"/>
        <v/>
      </c>
      <c r="AH151" s="1" t="str">
        <f t="shared" si="10"/>
        <v/>
      </c>
      <c r="AI151" s="1" t="str">
        <f>IF(AH151="", "", SUM($AH$4:AH151))</f>
        <v/>
      </c>
      <c r="AJ151" s="11"/>
    </row>
    <row r="152" spans="1:36">
      <c r="A152" s="7"/>
      <c r="W152" s="1" t="str">
        <f>IF(Table1[[#This Row],[WHRS NET KW TOTAL]]="","", Table1[[#This Row],[WHRS NET KW TOTAL]]-U151)</f>
        <v/>
      </c>
      <c r="X152" s="6">
        <f>Table1[[#This Row],[WHRS  KW TOTAL]]-V151</f>
        <v>0</v>
      </c>
      <c r="Y152" s="6" t="b">
        <f>IF(AND(Table1[[#This Row],[WHRS KW RECOVERED PER DAY]]&lt;&gt;0,Table1[[#This Row],[WHRS RH]]&lt;&gt;0),ROUND(Table1[[#This Row],[WHRS KW RECOVERED PER DAY]]/Table1[[#This Row],[WHRS RH]],1))</f>
        <v>0</v>
      </c>
      <c r="Z152" s="8"/>
      <c r="AA152" s="1"/>
      <c r="AB152" s="1"/>
      <c r="AC152" s="1"/>
      <c r="AD152" s="1"/>
      <c r="AE152" s="1"/>
      <c r="AF152" s="1" t="str">
        <f t="shared" si="8"/>
        <v/>
      </c>
      <c r="AG152" s="1" t="str">
        <f t="shared" si="9"/>
        <v/>
      </c>
      <c r="AH152" s="1" t="str">
        <f t="shared" si="10"/>
        <v/>
      </c>
      <c r="AI152" s="1" t="str">
        <f>IF(AH152="", "", SUM($AH$4:AH152))</f>
        <v/>
      </c>
      <c r="AJ152" s="9"/>
    </row>
    <row r="153" spans="1:36">
      <c r="A153" s="7"/>
      <c r="W153" s="1" t="str">
        <f>IF(Table1[[#This Row],[WHRS NET KW TOTAL]]="","", Table1[[#This Row],[WHRS NET KW TOTAL]]-U152)</f>
        <v/>
      </c>
      <c r="X153" s="6">
        <f>Table1[[#This Row],[WHRS  KW TOTAL]]-V152</f>
        <v>0</v>
      </c>
      <c r="Y153" s="6" t="b">
        <f>IF(AND(Table1[[#This Row],[WHRS KW RECOVERED PER DAY]]&lt;&gt;0,Table1[[#This Row],[WHRS RH]]&lt;&gt;0),ROUND(Table1[[#This Row],[WHRS KW RECOVERED PER DAY]]/Table1[[#This Row],[WHRS RH]],1))</f>
        <v>0</v>
      </c>
      <c r="Z153" s="8"/>
      <c r="AA153" s="1"/>
      <c r="AB153" s="1"/>
      <c r="AC153" s="1"/>
      <c r="AD153" s="1"/>
      <c r="AE153" s="1"/>
      <c r="AF153" s="1" t="str">
        <f t="shared" si="8"/>
        <v/>
      </c>
      <c r="AG153" s="1" t="str">
        <f t="shared" si="9"/>
        <v/>
      </c>
      <c r="AH153" s="1" t="str">
        <f t="shared" si="10"/>
        <v/>
      </c>
      <c r="AI153" s="1" t="str">
        <f>IF(AH153="", "", SUM($AH$4:AH153))</f>
        <v/>
      </c>
      <c r="AJ153" s="11"/>
    </row>
    <row r="154" spans="1:36">
      <c r="A154" s="7"/>
      <c r="W154" s="1" t="str">
        <f>IF(Table1[[#This Row],[WHRS NET KW TOTAL]]="","", Table1[[#This Row],[WHRS NET KW TOTAL]]-U153)</f>
        <v/>
      </c>
      <c r="X154" s="6">
        <f>Table1[[#This Row],[WHRS  KW TOTAL]]-V153</f>
        <v>0</v>
      </c>
      <c r="Y154" s="6" t="b">
        <f>IF(AND(Table1[[#This Row],[WHRS KW RECOVERED PER DAY]]&lt;&gt;0,Table1[[#This Row],[WHRS RH]]&lt;&gt;0),ROUND(Table1[[#This Row],[WHRS KW RECOVERED PER DAY]]/Table1[[#This Row],[WHRS RH]],1))</f>
        <v>0</v>
      </c>
      <c r="Z154" s="8"/>
      <c r="AA154" s="1"/>
      <c r="AB154" s="1"/>
      <c r="AC154" s="1"/>
      <c r="AD154" s="1"/>
      <c r="AE154" s="1"/>
      <c r="AF154" s="1" t="str">
        <f t="shared" si="8"/>
        <v/>
      </c>
      <c r="AG154" s="1" t="str">
        <f t="shared" si="9"/>
        <v/>
      </c>
      <c r="AH154" s="1" t="str">
        <f t="shared" si="10"/>
        <v/>
      </c>
      <c r="AI154" s="1" t="str">
        <f>IF(AH154="", "", SUM($AH$4:AH154))</f>
        <v/>
      </c>
      <c r="AJ154" s="11"/>
    </row>
    <row r="155" spans="1:36">
      <c r="A155" s="7"/>
      <c r="W155" s="1" t="str">
        <f>IF(Table1[[#This Row],[WHRS NET KW TOTAL]]="","", Table1[[#This Row],[WHRS NET KW TOTAL]]-U154)</f>
        <v/>
      </c>
      <c r="X155" s="6">
        <f>Table1[[#This Row],[WHRS  KW TOTAL]]-V154</f>
        <v>0</v>
      </c>
      <c r="Y155" s="6" t="b">
        <f>IF(AND(Table1[[#This Row],[WHRS KW RECOVERED PER DAY]]&lt;&gt;0,Table1[[#This Row],[WHRS RH]]&lt;&gt;0),ROUND(Table1[[#This Row],[WHRS KW RECOVERED PER DAY]]/Table1[[#This Row],[WHRS RH]],1))</f>
        <v>0</v>
      </c>
      <c r="Z155" s="8"/>
      <c r="AA155" s="1"/>
      <c r="AB155" s="1"/>
      <c r="AC155" s="1"/>
      <c r="AD155" s="1"/>
      <c r="AE155" s="1"/>
      <c r="AF155" s="1" t="str">
        <f t="shared" si="8"/>
        <v/>
      </c>
      <c r="AG155" s="1" t="str">
        <f t="shared" si="9"/>
        <v/>
      </c>
      <c r="AH155" s="1" t="str">
        <f t="shared" si="10"/>
        <v/>
      </c>
      <c r="AI155" s="1" t="str">
        <f>IF(AH155="", "", SUM($AH$4:AH155))</f>
        <v/>
      </c>
      <c r="AJ155" s="9"/>
    </row>
    <row r="156" spans="1:36">
      <c r="A156" s="7"/>
      <c r="W156" s="1" t="str">
        <f>IF(Table1[[#This Row],[WHRS NET KW TOTAL]]="","", Table1[[#This Row],[WHRS NET KW TOTAL]]-U155)</f>
        <v/>
      </c>
      <c r="X156" s="6">
        <f>Table1[[#This Row],[WHRS  KW TOTAL]]-V155</f>
        <v>0</v>
      </c>
      <c r="Y156" s="6" t="b">
        <f>IF(AND(Table1[[#This Row],[WHRS KW RECOVERED PER DAY]]&lt;&gt;0,Table1[[#This Row],[WHRS RH]]&lt;&gt;0),ROUND(Table1[[#This Row],[WHRS KW RECOVERED PER DAY]]/Table1[[#This Row],[WHRS RH]],1))</f>
        <v>0</v>
      </c>
      <c r="Z156" s="8"/>
      <c r="AA156" s="1"/>
      <c r="AB156" s="1"/>
      <c r="AC156" s="1"/>
      <c r="AD156" s="1"/>
      <c r="AE156" s="1"/>
      <c r="AF156" s="1" t="str">
        <f t="shared" si="8"/>
        <v/>
      </c>
      <c r="AG156" s="1" t="str">
        <f t="shared" si="9"/>
        <v/>
      </c>
      <c r="AH156" s="1" t="str">
        <f t="shared" si="10"/>
        <v/>
      </c>
      <c r="AI156" s="1" t="str">
        <f>IF(AH156="", "", SUM($AH$4:AH156))</f>
        <v/>
      </c>
      <c r="AJ156" s="11"/>
    </row>
    <row r="157" spans="1:36">
      <c r="A157" s="7"/>
      <c r="W157" s="1" t="str">
        <f>IF(Table1[[#This Row],[WHRS NET KW TOTAL]]="","", Table1[[#This Row],[WHRS NET KW TOTAL]]-U156)</f>
        <v/>
      </c>
      <c r="X157" s="6">
        <f>Table1[[#This Row],[WHRS  KW TOTAL]]-V156</f>
        <v>0</v>
      </c>
      <c r="Y157" s="6" t="b">
        <f>IF(AND(Table1[[#This Row],[WHRS KW RECOVERED PER DAY]]&lt;&gt;0,Table1[[#This Row],[WHRS RH]]&lt;&gt;0),ROUND(Table1[[#This Row],[WHRS KW RECOVERED PER DAY]]/Table1[[#This Row],[WHRS RH]],1))</f>
        <v>0</v>
      </c>
      <c r="Z157" s="8"/>
      <c r="AA157" s="1"/>
      <c r="AB157" s="1"/>
      <c r="AC157" s="1"/>
      <c r="AD157" s="1"/>
      <c r="AE157" s="1"/>
      <c r="AF157" s="1" t="str">
        <f t="shared" si="8"/>
        <v/>
      </c>
      <c r="AG157" s="1" t="str">
        <f t="shared" si="9"/>
        <v/>
      </c>
      <c r="AH157" s="1" t="str">
        <f t="shared" si="10"/>
        <v/>
      </c>
      <c r="AI157" s="1" t="str">
        <f>IF(AH157="", "", SUM($AH$4:AH157))</f>
        <v/>
      </c>
      <c r="AJ157" s="11"/>
    </row>
    <row r="158" spans="1:36">
      <c r="A158" s="7"/>
      <c r="W158" s="1" t="str">
        <f>IF(Table1[[#This Row],[WHRS NET KW TOTAL]]="","", Table1[[#This Row],[WHRS NET KW TOTAL]]-U157)</f>
        <v/>
      </c>
      <c r="X158" s="6">
        <f>Table1[[#This Row],[WHRS  KW TOTAL]]-V157</f>
        <v>0</v>
      </c>
      <c r="Y158" s="6" t="b">
        <f>IF(AND(Table1[[#This Row],[WHRS KW RECOVERED PER DAY]]&lt;&gt;0,Table1[[#This Row],[WHRS RH]]&lt;&gt;0),ROUND(Table1[[#This Row],[WHRS KW RECOVERED PER DAY]]/Table1[[#This Row],[WHRS RH]],1))</f>
        <v>0</v>
      </c>
      <c r="Z158" s="8"/>
      <c r="AA158" s="1"/>
      <c r="AB158" s="1"/>
      <c r="AC158" s="1"/>
      <c r="AD158" s="1"/>
      <c r="AE158" s="1"/>
      <c r="AF158" s="1" t="str">
        <f t="shared" si="8"/>
        <v/>
      </c>
      <c r="AG158" s="1" t="str">
        <f t="shared" si="9"/>
        <v/>
      </c>
      <c r="AH158" s="1" t="str">
        <f t="shared" si="10"/>
        <v/>
      </c>
      <c r="AI158" s="1" t="str">
        <f>IF(AH158="", "", SUM($AH$4:AH158))</f>
        <v/>
      </c>
      <c r="AJ158" s="9"/>
    </row>
    <row r="159" spans="1:36">
      <c r="A159" s="7"/>
      <c r="W159" s="1" t="str">
        <f>IF(Table1[[#This Row],[WHRS NET KW TOTAL]]="","", Table1[[#This Row],[WHRS NET KW TOTAL]]-U158)</f>
        <v/>
      </c>
      <c r="X159" s="6">
        <f>Table1[[#This Row],[WHRS  KW TOTAL]]-V158</f>
        <v>0</v>
      </c>
      <c r="Y159" s="6" t="b">
        <f>IF(AND(Table1[[#This Row],[WHRS KW RECOVERED PER DAY]]&lt;&gt;0,Table1[[#This Row],[WHRS RH]]&lt;&gt;0),ROUND(Table1[[#This Row],[WHRS KW RECOVERED PER DAY]]/Table1[[#This Row],[WHRS RH]],1))</f>
        <v>0</v>
      </c>
      <c r="Z159" s="8"/>
      <c r="AA159" s="1"/>
      <c r="AB159" s="1"/>
      <c r="AC159" s="1"/>
      <c r="AD159" s="1"/>
      <c r="AE159" s="1"/>
      <c r="AF159" s="1" t="str">
        <f t="shared" si="8"/>
        <v/>
      </c>
      <c r="AG159" s="1" t="str">
        <f t="shared" si="9"/>
        <v/>
      </c>
      <c r="AH159" s="1" t="str">
        <f t="shared" si="10"/>
        <v/>
      </c>
      <c r="AI159" s="1" t="str">
        <f>IF(AH159="", "", SUM($AH$4:AH159))</f>
        <v/>
      </c>
      <c r="AJ159" s="11"/>
    </row>
    <row r="160" spans="1:36">
      <c r="A160" s="7"/>
      <c r="W160" s="1" t="str">
        <f>IF(Table1[[#This Row],[WHRS NET KW TOTAL]]="","", Table1[[#This Row],[WHRS NET KW TOTAL]]-U159)</f>
        <v/>
      </c>
      <c r="X160" s="6">
        <f>Table1[[#This Row],[WHRS  KW TOTAL]]-V159</f>
        <v>0</v>
      </c>
      <c r="Y160" s="6" t="b">
        <f>IF(AND(Table1[[#This Row],[WHRS KW RECOVERED PER DAY]]&lt;&gt;0,Table1[[#This Row],[WHRS RH]]&lt;&gt;0),ROUND(Table1[[#This Row],[WHRS KW RECOVERED PER DAY]]/Table1[[#This Row],[WHRS RH]],1))</f>
        <v>0</v>
      </c>
      <c r="Z160" s="8"/>
      <c r="AA160" s="1"/>
      <c r="AB160" s="1"/>
      <c r="AC160" s="1"/>
      <c r="AD160" s="1"/>
      <c r="AE160" s="1"/>
      <c r="AF160" s="1" t="str">
        <f t="shared" si="8"/>
        <v/>
      </c>
      <c r="AG160" s="1" t="str">
        <f t="shared" si="9"/>
        <v/>
      </c>
      <c r="AH160" s="1" t="str">
        <f t="shared" si="10"/>
        <v/>
      </c>
      <c r="AI160" s="1" t="str">
        <f>IF(AH160="", "", SUM($AH$4:AH160))</f>
        <v/>
      </c>
      <c r="AJ160" s="11"/>
    </row>
    <row r="161" spans="1:36">
      <c r="A161" s="7"/>
      <c r="W161" s="1" t="str">
        <f>IF(Table1[[#This Row],[WHRS NET KW TOTAL]]="","", Table1[[#This Row],[WHRS NET KW TOTAL]]-U160)</f>
        <v/>
      </c>
      <c r="X161" s="6">
        <f>Table1[[#This Row],[WHRS  KW TOTAL]]-V160</f>
        <v>0</v>
      </c>
      <c r="Y161" s="6" t="b">
        <f>IF(AND(Table1[[#This Row],[WHRS KW RECOVERED PER DAY]]&lt;&gt;0,Table1[[#This Row],[WHRS RH]]&lt;&gt;0),ROUND(Table1[[#This Row],[WHRS KW RECOVERED PER DAY]]/Table1[[#This Row],[WHRS RH]],1))</f>
        <v>0</v>
      </c>
      <c r="Z161" s="8"/>
      <c r="AA161" s="1"/>
      <c r="AB161" s="1"/>
      <c r="AC161" s="1"/>
      <c r="AD161" s="1"/>
      <c r="AE161" s="1"/>
      <c r="AF161" s="1" t="str">
        <f t="shared" si="8"/>
        <v/>
      </c>
      <c r="AG161" s="1" t="str">
        <f t="shared" si="9"/>
        <v/>
      </c>
      <c r="AH161" s="1" t="str">
        <f t="shared" si="10"/>
        <v/>
      </c>
      <c r="AI161" s="1" t="str">
        <f>IF(AH161="", "", SUM($AH$4:AH161))</f>
        <v/>
      </c>
      <c r="AJ161" s="9"/>
    </row>
    <row r="162" spans="1:36">
      <c r="A162" s="7"/>
      <c r="W162" s="1" t="str">
        <f>IF(Table1[[#This Row],[WHRS NET KW TOTAL]]="","", Table1[[#This Row],[WHRS NET KW TOTAL]]-U161)</f>
        <v/>
      </c>
      <c r="X162" s="6">
        <f>Table1[[#This Row],[WHRS  KW TOTAL]]-V161</f>
        <v>0</v>
      </c>
      <c r="Y162" s="6" t="b">
        <f>IF(AND(Table1[[#This Row],[WHRS KW RECOVERED PER DAY]]&lt;&gt;0,Table1[[#This Row],[WHRS RH]]&lt;&gt;0),ROUND(Table1[[#This Row],[WHRS KW RECOVERED PER DAY]]/Table1[[#This Row],[WHRS RH]],1))</f>
        <v>0</v>
      </c>
      <c r="Z162" s="8"/>
      <c r="AA162" s="1"/>
      <c r="AB162" s="1"/>
      <c r="AC162" s="1"/>
      <c r="AD162" s="1"/>
      <c r="AE162" s="1"/>
      <c r="AF162" s="1" t="str">
        <f t="shared" si="8"/>
        <v/>
      </c>
      <c r="AG162" s="1" t="str">
        <f t="shared" si="9"/>
        <v/>
      </c>
      <c r="AH162" s="1" t="str">
        <f t="shared" si="10"/>
        <v/>
      </c>
      <c r="AI162" s="1" t="str">
        <f>IF(AH162="", "", SUM($AH$4:AH162))</f>
        <v/>
      </c>
      <c r="AJ162" s="9"/>
    </row>
    <row r="163" spans="1:36">
      <c r="A163" s="7"/>
      <c r="W163" s="1" t="str">
        <f>IF(Table1[[#This Row],[WHRS NET KW TOTAL]]="","", Table1[[#This Row],[WHRS NET KW TOTAL]]-U162)</f>
        <v/>
      </c>
      <c r="X163" s="6">
        <f>Table1[[#This Row],[WHRS  KW TOTAL]]-V162</f>
        <v>0</v>
      </c>
      <c r="Y163" s="6" t="b">
        <f>IF(AND(Table1[[#This Row],[WHRS KW RECOVERED PER DAY]]&lt;&gt;0,Table1[[#This Row],[WHRS RH]]&lt;&gt;0),ROUND(Table1[[#This Row],[WHRS KW RECOVERED PER DAY]]/Table1[[#This Row],[WHRS RH]],1))</f>
        <v>0</v>
      </c>
      <c r="Z163" s="8"/>
      <c r="AA163" s="1"/>
      <c r="AB163" s="1"/>
      <c r="AC163" s="1"/>
      <c r="AD163" s="1"/>
      <c r="AE163" s="1"/>
      <c r="AF163" s="1" t="str">
        <f t="shared" si="8"/>
        <v/>
      </c>
      <c r="AG163" s="1" t="str">
        <f t="shared" si="9"/>
        <v/>
      </c>
      <c r="AH163" s="1" t="str">
        <f t="shared" si="10"/>
        <v/>
      </c>
      <c r="AI163" s="1" t="str">
        <f>IF(AH163="", "", SUM($AH$4:AH163))</f>
        <v/>
      </c>
      <c r="AJ163" s="9"/>
    </row>
    <row r="164" spans="1:36">
      <c r="A164" s="7"/>
      <c r="W164" s="1" t="str">
        <f>IF(Table1[[#This Row],[WHRS NET KW TOTAL]]="","", Table1[[#This Row],[WHRS NET KW TOTAL]]-U163)</f>
        <v/>
      </c>
      <c r="X164" s="6">
        <f>Table1[[#This Row],[WHRS  KW TOTAL]]-V163</f>
        <v>0</v>
      </c>
      <c r="Y164" s="6" t="b">
        <f>IF(AND(Table1[[#This Row],[WHRS KW RECOVERED PER DAY]]&lt;&gt;0,Table1[[#This Row],[WHRS RH]]&lt;&gt;0),ROUND(Table1[[#This Row],[WHRS KW RECOVERED PER DAY]]/Table1[[#This Row],[WHRS RH]],1))</f>
        <v>0</v>
      </c>
      <c r="Z164" s="8"/>
      <c r="AA164" s="1"/>
      <c r="AB164" s="1"/>
      <c r="AC164" s="1"/>
      <c r="AD164" s="1"/>
      <c r="AE164" s="1"/>
      <c r="AF164" s="1" t="str">
        <f t="shared" si="8"/>
        <v/>
      </c>
      <c r="AG164" s="1" t="str">
        <f t="shared" si="9"/>
        <v/>
      </c>
      <c r="AH164" s="1" t="str">
        <f t="shared" si="10"/>
        <v/>
      </c>
      <c r="AI164" s="1" t="str">
        <f>IF(AH164="", "", SUM($AH$4:AH164))</f>
        <v/>
      </c>
      <c r="AJ164" s="9"/>
    </row>
    <row r="165" spans="1:36">
      <c r="A165" s="7"/>
      <c r="W165" s="1" t="str">
        <f>IF(Table1[[#This Row],[WHRS NET KW TOTAL]]="","", Table1[[#This Row],[WHRS NET KW TOTAL]]-U164)</f>
        <v/>
      </c>
      <c r="X165" s="6">
        <f>Table1[[#This Row],[WHRS  KW TOTAL]]-V164</f>
        <v>0</v>
      </c>
      <c r="Y165" s="6" t="b">
        <f>IF(AND(Table1[[#This Row],[WHRS KW RECOVERED PER DAY]]&lt;&gt;0,Table1[[#This Row],[WHRS RH]]&lt;&gt;0),ROUND(Table1[[#This Row],[WHRS KW RECOVERED PER DAY]]/Table1[[#This Row],[WHRS RH]],1))</f>
        <v>0</v>
      </c>
      <c r="Z165" s="8"/>
      <c r="AA165" s="1"/>
      <c r="AB165" s="1"/>
      <c r="AC165" s="1"/>
      <c r="AD165" s="1"/>
      <c r="AE165" s="1"/>
      <c r="AF165" s="1" t="str">
        <f t="shared" si="8"/>
        <v/>
      </c>
      <c r="AG165" s="1" t="str">
        <f t="shared" si="9"/>
        <v/>
      </c>
      <c r="AH165" s="1" t="str">
        <f t="shared" si="10"/>
        <v/>
      </c>
      <c r="AI165" s="1" t="str">
        <f>IF(AH165="", "", SUM($AH$4:AH165))</f>
        <v/>
      </c>
      <c r="AJ165" s="9"/>
    </row>
    <row r="166" spans="1:36">
      <c r="A166" s="7"/>
      <c r="W166" s="1" t="str">
        <f>IF(Table1[[#This Row],[WHRS NET KW TOTAL]]="","", Table1[[#This Row],[WHRS NET KW TOTAL]]-U165)</f>
        <v/>
      </c>
      <c r="X166" s="6">
        <f>Table1[[#This Row],[WHRS  KW TOTAL]]-V165</f>
        <v>0</v>
      </c>
      <c r="Y166" s="6" t="b">
        <f>IF(AND(Table1[[#This Row],[WHRS KW RECOVERED PER DAY]]&lt;&gt;0,Table1[[#This Row],[WHRS RH]]&lt;&gt;0),ROUND(Table1[[#This Row],[WHRS KW RECOVERED PER DAY]]/Table1[[#This Row],[WHRS RH]],1))</f>
        <v>0</v>
      </c>
      <c r="Z166" s="8"/>
      <c r="AA166" s="1"/>
      <c r="AB166" s="1"/>
      <c r="AC166" s="1"/>
      <c r="AD166" s="1"/>
      <c r="AE166" s="1"/>
      <c r="AF166" s="1" t="str">
        <f t="shared" si="8"/>
        <v/>
      </c>
      <c r="AG166" s="1" t="str">
        <f t="shared" si="9"/>
        <v/>
      </c>
      <c r="AH166" s="1" t="str">
        <f t="shared" si="10"/>
        <v/>
      </c>
      <c r="AI166" s="1" t="str">
        <f>IF(AH166="", "", SUM($AH$4:AH166))</f>
        <v/>
      </c>
      <c r="AJ166" s="9"/>
    </row>
    <row r="167" spans="1:36">
      <c r="A167" s="7"/>
      <c r="W167" s="1" t="str">
        <f>IF(Table1[[#This Row],[WHRS NET KW TOTAL]]="","", Table1[[#This Row],[WHRS NET KW TOTAL]]-U166)</f>
        <v/>
      </c>
      <c r="X167" s="6">
        <f>Table1[[#This Row],[WHRS  KW TOTAL]]-V166</f>
        <v>0</v>
      </c>
      <c r="Y167" s="6" t="b">
        <f>IF(AND(Table1[[#This Row],[WHRS KW RECOVERED PER DAY]]&lt;&gt;0,Table1[[#This Row],[WHRS RH]]&lt;&gt;0),ROUND(Table1[[#This Row],[WHRS KW RECOVERED PER DAY]]/Table1[[#This Row],[WHRS RH]],1))</f>
        <v>0</v>
      </c>
      <c r="Z167" s="8"/>
      <c r="AA167" s="1"/>
      <c r="AB167" s="1"/>
      <c r="AC167" s="1"/>
      <c r="AD167" s="1"/>
      <c r="AE167" s="1"/>
      <c r="AF167" s="1" t="str">
        <f t="shared" si="8"/>
        <v/>
      </c>
      <c r="AG167" s="1" t="str">
        <f t="shared" si="9"/>
        <v/>
      </c>
      <c r="AH167" s="1" t="str">
        <f t="shared" si="10"/>
        <v/>
      </c>
      <c r="AI167" s="1" t="str">
        <f>IF(AH167="", "", SUM($AH$4:AH167))</f>
        <v/>
      </c>
      <c r="AJ167" s="9"/>
    </row>
    <row r="168" spans="1:36">
      <c r="A168" s="7"/>
      <c r="W168" s="1" t="str">
        <f>IF(Table1[[#This Row],[WHRS NET KW TOTAL]]="","", Table1[[#This Row],[WHRS NET KW TOTAL]]-U167)</f>
        <v/>
      </c>
      <c r="X168" s="6">
        <f>Table1[[#This Row],[WHRS  KW TOTAL]]-V167</f>
        <v>0</v>
      </c>
      <c r="Y168" s="6" t="b">
        <f>IF(AND(Table1[[#This Row],[WHRS KW RECOVERED PER DAY]]&lt;&gt;0,Table1[[#This Row],[WHRS RH]]&lt;&gt;0),ROUND(Table1[[#This Row],[WHRS KW RECOVERED PER DAY]]/Table1[[#This Row],[WHRS RH]],1))</f>
        <v>0</v>
      </c>
      <c r="Z168" s="8"/>
      <c r="AA168" s="1"/>
      <c r="AB168" s="1"/>
      <c r="AC168" s="1"/>
      <c r="AD168" s="1"/>
      <c r="AE168" s="1"/>
      <c r="AF168" s="1" t="str">
        <f t="shared" si="8"/>
        <v/>
      </c>
      <c r="AG168" s="1" t="str">
        <f t="shared" si="9"/>
        <v/>
      </c>
      <c r="AH168" s="1" t="str">
        <f t="shared" si="10"/>
        <v/>
      </c>
      <c r="AI168" s="1" t="str">
        <f>IF(AH168="", "", SUM($AH$4:AH168))</f>
        <v/>
      </c>
      <c r="AJ168" s="9"/>
    </row>
    <row r="169" spans="1:36">
      <c r="A169" s="7"/>
      <c r="W169" s="1" t="str">
        <f>IF(Table1[[#This Row],[WHRS NET KW TOTAL]]="","", Table1[[#This Row],[WHRS NET KW TOTAL]]-U168)</f>
        <v/>
      </c>
      <c r="X169" s="6">
        <f>Table1[[#This Row],[WHRS  KW TOTAL]]-V168</f>
        <v>0</v>
      </c>
      <c r="Y169" s="6" t="b">
        <f>IF(AND(Table1[[#This Row],[WHRS KW RECOVERED PER DAY]]&lt;&gt;0,Table1[[#This Row],[WHRS RH]]&lt;&gt;0),ROUND(Table1[[#This Row],[WHRS KW RECOVERED PER DAY]]/Table1[[#This Row],[WHRS RH]],1))</f>
        <v>0</v>
      </c>
      <c r="Z169" s="8"/>
      <c r="AA169" s="1"/>
      <c r="AB169" s="1"/>
      <c r="AC169" s="1"/>
      <c r="AD169" s="1"/>
      <c r="AE169" s="1"/>
      <c r="AF169" s="1" t="str">
        <f t="shared" si="8"/>
        <v/>
      </c>
      <c r="AG169" s="1" t="str">
        <f t="shared" si="9"/>
        <v/>
      </c>
      <c r="AH169" s="1" t="str">
        <f t="shared" si="10"/>
        <v/>
      </c>
      <c r="AI169" s="1" t="str">
        <f>IF(AH169="", "", SUM($AH$4:AH169))</f>
        <v/>
      </c>
      <c r="AJ169" s="9"/>
    </row>
    <row r="170" spans="1:36">
      <c r="A170" s="7"/>
      <c r="W170" s="1" t="str">
        <f>IF(Table1[[#This Row],[WHRS NET KW TOTAL]]="","", Table1[[#This Row],[WHRS NET KW TOTAL]]-U169)</f>
        <v/>
      </c>
      <c r="X170" s="6">
        <f>Table1[[#This Row],[WHRS  KW TOTAL]]-V169</f>
        <v>0</v>
      </c>
      <c r="Y170" s="6" t="b">
        <f>IF(AND(Table1[[#This Row],[WHRS KW RECOVERED PER DAY]]&lt;&gt;0,Table1[[#This Row],[WHRS RH]]&lt;&gt;0),ROUND(Table1[[#This Row],[WHRS KW RECOVERED PER DAY]]/Table1[[#This Row],[WHRS RH]],1))</f>
        <v>0</v>
      </c>
      <c r="Z170" s="8"/>
      <c r="AA170" s="1"/>
      <c r="AB170" s="1"/>
      <c r="AC170" s="1"/>
      <c r="AD170" s="1"/>
      <c r="AE170" s="1"/>
      <c r="AF170" s="1" t="str">
        <f t="shared" si="8"/>
        <v/>
      </c>
      <c r="AG170" s="1" t="str">
        <f t="shared" si="9"/>
        <v/>
      </c>
      <c r="AH170" s="1" t="str">
        <f t="shared" si="10"/>
        <v/>
      </c>
      <c r="AI170" s="1" t="str">
        <f>IF(AH170="", "", SUM($AH$4:AH170))</f>
        <v/>
      </c>
      <c r="AJ170" s="9"/>
    </row>
    <row r="171" spans="1:36">
      <c r="A171" s="7"/>
      <c r="W171" s="1" t="str">
        <f>IF(Table1[[#This Row],[WHRS NET KW TOTAL]]="","", Table1[[#This Row],[WHRS NET KW TOTAL]]-U170)</f>
        <v/>
      </c>
      <c r="X171" s="6">
        <f>Table1[[#This Row],[WHRS  KW TOTAL]]-V170</f>
        <v>0</v>
      </c>
      <c r="Y171" s="6" t="b">
        <f>IF(AND(Table1[[#This Row],[WHRS KW RECOVERED PER DAY]]&lt;&gt;0,Table1[[#This Row],[WHRS RH]]&lt;&gt;0),ROUND(Table1[[#This Row],[WHRS KW RECOVERED PER DAY]]/Table1[[#This Row],[WHRS RH]],1))</f>
        <v>0</v>
      </c>
      <c r="Z171" s="8"/>
      <c r="AA171" s="1"/>
      <c r="AB171" s="1"/>
      <c r="AC171" s="1"/>
      <c r="AD171" s="1"/>
      <c r="AE171" s="1"/>
      <c r="AF171" s="1" t="str">
        <f t="shared" si="8"/>
        <v/>
      </c>
      <c r="AG171" s="1" t="str">
        <f t="shared" si="9"/>
        <v/>
      </c>
      <c r="AH171" s="1" t="str">
        <f t="shared" si="10"/>
        <v/>
      </c>
      <c r="AI171" s="1" t="str">
        <f>IF(AH171="", "", SUM($AH$4:AH171))</f>
        <v/>
      </c>
      <c r="AJ171" s="9"/>
    </row>
    <row r="172" spans="1:36">
      <c r="A172" s="7"/>
      <c r="W172" s="1" t="str">
        <f>IF(Table1[[#This Row],[WHRS NET KW TOTAL]]="","", Table1[[#This Row],[WHRS NET KW TOTAL]]-U171)</f>
        <v/>
      </c>
      <c r="X172" s="6">
        <f>Table1[[#This Row],[WHRS  KW TOTAL]]-V171</f>
        <v>0</v>
      </c>
      <c r="Y172" s="6" t="b">
        <f>IF(AND(Table1[[#This Row],[WHRS KW RECOVERED PER DAY]]&lt;&gt;0,Table1[[#This Row],[WHRS RH]]&lt;&gt;0),ROUND(Table1[[#This Row],[WHRS KW RECOVERED PER DAY]]/Table1[[#This Row],[WHRS RH]],1))</f>
        <v>0</v>
      </c>
      <c r="Z172" s="8"/>
      <c r="AA172" s="1"/>
      <c r="AB172" s="1"/>
      <c r="AC172" s="1"/>
      <c r="AD172" s="1"/>
      <c r="AE172" s="1"/>
      <c r="AF172" s="1" t="str">
        <f t="shared" si="8"/>
        <v/>
      </c>
      <c r="AG172" s="1" t="str">
        <f t="shared" si="9"/>
        <v/>
      </c>
      <c r="AH172" s="1" t="str">
        <f t="shared" si="10"/>
        <v/>
      </c>
      <c r="AI172" s="1" t="str">
        <f>IF(AH172="", "", SUM($AH$4:AH172))</f>
        <v/>
      </c>
      <c r="AJ172" s="9"/>
    </row>
    <row r="173" spans="1:36">
      <c r="A173" s="7"/>
      <c r="W173" s="1" t="str">
        <f>IF(Table1[[#This Row],[WHRS NET KW TOTAL]]="","", Table1[[#This Row],[WHRS NET KW TOTAL]]-U172)</f>
        <v/>
      </c>
      <c r="X173" s="6">
        <f>Table1[[#This Row],[WHRS  KW TOTAL]]-V172</f>
        <v>0</v>
      </c>
      <c r="Y173" s="6" t="b">
        <f>IF(AND(Table1[[#This Row],[WHRS KW RECOVERED PER DAY]]&lt;&gt;0,Table1[[#This Row],[WHRS RH]]&lt;&gt;0),ROUND(Table1[[#This Row],[WHRS KW RECOVERED PER DAY]]/Table1[[#This Row],[WHRS RH]],1))</f>
        <v>0</v>
      </c>
      <c r="Z173" s="8"/>
      <c r="AA173" s="1"/>
      <c r="AB173" s="1"/>
      <c r="AC173" s="1"/>
      <c r="AD173" s="1"/>
      <c r="AE173" s="1"/>
      <c r="AF173" s="1" t="str">
        <f t="shared" si="8"/>
        <v/>
      </c>
      <c r="AG173" s="1" t="str">
        <f t="shared" si="9"/>
        <v/>
      </c>
      <c r="AH173" s="1" t="str">
        <f t="shared" si="10"/>
        <v/>
      </c>
      <c r="AI173" s="1" t="str">
        <f>IF(AH173="", "", SUM($AH$4:AH173))</f>
        <v/>
      </c>
      <c r="AJ173" s="9"/>
    </row>
    <row r="174" spans="1:36">
      <c r="A174" s="7"/>
      <c r="W174" s="1" t="str">
        <f>IF(Table1[[#This Row],[WHRS NET KW TOTAL]]="","", Table1[[#This Row],[WHRS NET KW TOTAL]]-U173)</f>
        <v/>
      </c>
      <c r="X174" s="6">
        <f>Table1[[#This Row],[WHRS  KW TOTAL]]-V173</f>
        <v>0</v>
      </c>
      <c r="Y174" s="6" t="b">
        <f>IF(AND(Table1[[#This Row],[WHRS KW RECOVERED PER DAY]]&lt;&gt;0,Table1[[#This Row],[WHRS RH]]&lt;&gt;0),ROUND(Table1[[#This Row],[WHRS KW RECOVERED PER DAY]]/Table1[[#This Row],[WHRS RH]],1))</f>
        <v>0</v>
      </c>
      <c r="Z174" s="8"/>
      <c r="AA174" s="1"/>
      <c r="AB174" s="1"/>
      <c r="AC174" s="1"/>
      <c r="AD174" s="1"/>
      <c r="AE174" s="1"/>
      <c r="AF174" s="1" t="str">
        <f t="shared" si="8"/>
        <v/>
      </c>
      <c r="AG174" s="1" t="str">
        <f t="shared" si="9"/>
        <v/>
      </c>
      <c r="AH174" s="1" t="str">
        <f t="shared" si="10"/>
        <v/>
      </c>
      <c r="AI174" s="1" t="str">
        <f>IF(AH174="", "", SUM($AH$4:AH174))</f>
        <v/>
      </c>
      <c r="AJ174" s="9"/>
    </row>
    <row r="175" spans="1:36">
      <c r="A175" s="7"/>
      <c r="W175" s="1" t="str">
        <f>IF(Table1[[#This Row],[WHRS NET KW TOTAL]]="","", Table1[[#This Row],[WHRS NET KW TOTAL]]-U174)</f>
        <v/>
      </c>
      <c r="X175" s="6">
        <f>Table1[[#This Row],[WHRS  KW TOTAL]]-V174</f>
        <v>0</v>
      </c>
      <c r="Y175" s="6" t="b">
        <f>IF(AND(Table1[[#This Row],[WHRS KW RECOVERED PER DAY]]&lt;&gt;0,Table1[[#This Row],[WHRS RH]]&lt;&gt;0),ROUND(Table1[[#This Row],[WHRS KW RECOVERED PER DAY]]/Table1[[#This Row],[WHRS RH]],1))</f>
        <v>0</v>
      </c>
      <c r="Z175" s="8"/>
      <c r="AA175" s="1"/>
      <c r="AB175" s="1"/>
      <c r="AC175" s="1"/>
      <c r="AD175" s="1"/>
      <c r="AE175" s="1"/>
      <c r="AF175" s="1" t="str">
        <f t="shared" si="8"/>
        <v/>
      </c>
      <c r="AG175" s="1" t="str">
        <f t="shared" si="9"/>
        <v/>
      </c>
      <c r="AH175" s="1" t="str">
        <f t="shared" si="10"/>
        <v/>
      </c>
      <c r="AI175" s="1" t="str">
        <f>IF(AH175="", "", SUM($AH$4:AH175))</f>
        <v/>
      </c>
      <c r="AJ175" s="9"/>
    </row>
    <row r="176" spans="1:36">
      <c r="A176" s="7"/>
      <c r="W176" s="1" t="str">
        <f>IF(Table1[[#This Row],[WHRS NET KW TOTAL]]="","", Table1[[#This Row],[WHRS NET KW TOTAL]]-U175)</f>
        <v/>
      </c>
      <c r="X176" s="6">
        <f>Table1[[#This Row],[WHRS  KW TOTAL]]-V175</f>
        <v>0</v>
      </c>
      <c r="Y176" s="6" t="b">
        <f>IF(AND(Table1[[#This Row],[WHRS KW RECOVERED PER DAY]]&lt;&gt;0,Table1[[#This Row],[WHRS RH]]&lt;&gt;0),ROUND(Table1[[#This Row],[WHRS KW RECOVERED PER DAY]]/Table1[[#This Row],[WHRS RH]],1))</f>
        <v>0</v>
      </c>
      <c r="Z176" s="8"/>
      <c r="AA176" s="1"/>
      <c r="AB176" s="1"/>
      <c r="AC176" s="1"/>
      <c r="AD176" s="1"/>
      <c r="AE176" s="1"/>
      <c r="AF176" s="1" t="str">
        <f t="shared" si="8"/>
        <v/>
      </c>
      <c r="AG176" s="1" t="str">
        <f t="shared" si="9"/>
        <v/>
      </c>
      <c r="AH176" s="1" t="str">
        <f t="shared" si="10"/>
        <v/>
      </c>
      <c r="AI176" s="1" t="str">
        <f>IF(AH176="", "", SUM($AH$4:AH176))</f>
        <v/>
      </c>
      <c r="AJ176" s="9"/>
    </row>
    <row r="177" spans="1:36">
      <c r="A177" s="7"/>
      <c r="W177" s="1" t="str">
        <f>IF(Table1[[#This Row],[WHRS NET KW TOTAL]]="","", Table1[[#This Row],[WHRS NET KW TOTAL]]-U176)</f>
        <v/>
      </c>
      <c r="X177" s="6">
        <f>Table1[[#This Row],[WHRS  KW TOTAL]]-V176</f>
        <v>0</v>
      </c>
      <c r="Y177" s="6" t="b">
        <f>IF(AND(Table1[[#This Row],[WHRS KW RECOVERED PER DAY]]&lt;&gt;0,Table1[[#This Row],[WHRS RH]]&lt;&gt;0),ROUND(Table1[[#This Row],[WHRS KW RECOVERED PER DAY]]/Table1[[#This Row],[WHRS RH]],1))</f>
        <v>0</v>
      </c>
      <c r="Z177" s="8"/>
      <c r="AA177" s="1"/>
      <c r="AB177" s="1"/>
      <c r="AC177" s="1"/>
      <c r="AD177" s="1"/>
      <c r="AE177" s="1"/>
      <c r="AF177" s="1" t="str">
        <f t="shared" si="8"/>
        <v/>
      </c>
      <c r="AG177" s="1" t="str">
        <f t="shared" si="9"/>
        <v/>
      </c>
      <c r="AH177" s="1" t="str">
        <f t="shared" si="10"/>
        <v/>
      </c>
      <c r="AI177" s="1" t="str">
        <f>IF(AH177="", "", SUM($AH$4:AH177))</f>
        <v/>
      </c>
      <c r="AJ177" s="9"/>
    </row>
    <row r="178" spans="1:36">
      <c r="A178" s="7"/>
      <c r="W178" s="1" t="str">
        <f>IF(Table1[[#This Row],[WHRS NET KW TOTAL]]="","", Table1[[#This Row],[WHRS NET KW TOTAL]]-U177)</f>
        <v/>
      </c>
      <c r="X178" s="6">
        <f>Table1[[#This Row],[WHRS  KW TOTAL]]-V177</f>
        <v>0</v>
      </c>
      <c r="Y178" s="6" t="b">
        <f>IF(AND(Table1[[#This Row],[WHRS KW RECOVERED PER DAY]]&lt;&gt;0,Table1[[#This Row],[WHRS RH]]&lt;&gt;0),ROUND(Table1[[#This Row],[WHRS KW RECOVERED PER DAY]]/Table1[[#This Row],[WHRS RH]],1))</f>
        <v>0</v>
      </c>
      <c r="Z178" s="8"/>
      <c r="AA178" s="1"/>
      <c r="AB178" s="1"/>
      <c r="AC178" s="1"/>
      <c r="AD178" s="1"/>
      <c r="AE178" s="1"/>
      <c r="AF178" s="1" t="str">
        <f t="shared" si="8"/>
        <v/>
      </c>
      <c r="AG178" s="1" t="str">
        <f t="shared" si="9"/>
        <v/>
      </c>
      <c r="AH178" s="1" t="str">
        <f t="shared" si="10"/>
        <v/>
      </c>
      <c r="AI178" s="1" t="str">
        <f>IF(AH178="", "", SUM($AH$4:AH178))</f>
        <v/>
      </c>
      <c r="AJ178" s="9"/>
    </row>
    <row r="179" spans="1:36">
      <c r="A179" s="7"/>
      <c r="W179" s="1" t="str">
        <f>IF(Table1[[#This Row],[WHRS NET KW TOTAL]]="","", Table1[[#This Row],[WHRS NET KW TOTAL]]-U178)</f>
        <v/>
      </c>
      <c r="X179" s="6">
        <f>Table1[[#This Row],[WHRS  KW TOTAL]]-V178</f>
        <v>0</v>
      </c>
      <c r="Y179" s="6" t="b">
        <f>IF(AND(Table1[[#This Row],[WHRS KW RECOVERED PER DAY]]&lt;&gt;0,Table1[[#This Row],[WHRS RH]]&lt;&gt;0),ROUND(Table1[[#This Row],[WHRS KW RECOVERED PER DAY]]/Table1[[#This Row],[WHRS RH]],1))</f>
        <v>0</v>
      </c>
      <c r="Z179" s="8"/>
      <c r="AA179" s="1"/>
      <c r="AB179" s="1"/>
      <c r="AC179" s="1"/>
      <c r="AD179" s="1"/>
      <c r="AE179" s="1"/>
      <c r="AF179" s="1" t="str">
        <f t="shared" si="8"/>
        <v/>
      </c>
      <c r="AG179" s="1" t="str">
        <f t="shared" si="9"/>
        <v/>
      </c>
      <c r="AH179" s="1" t="str">
        <f t="shared" si="10"/>
        <v/>
      </c>
      <c r="AI179" s="1" t="str">
        <f>IF(AH179="", "", SUM($AH$4:AH179))</f>
        <v/>
      </c>
      <c r="AJ179" s="9"/>
    </row>
    <row r="180" spans="1:36">
      <c r="A180" s="7"/>
      <c r="W180" s="1" t="str">
        <f>IF(Table1[[#This Row],[WHRS NET KW TOTAL]]="","", Table1[[#This Row],[WHRS NET KW TOTAL]]-U179)</f>
        <v/>
      </c>
      <c r="X180" s="6">
        <f>Table1[[#This Row],[WHRS  KW TOTAL]]-V179</f>
        <v>0</v>
      </c>
      <c r="Y180" s="6" t="b">
        <f>IF(AND(Table1[[#This Row],[WHRS KW RECOVERED PER DAY]]&lt;&gt;0,Table1[[#This Row],[WHRS RH]]&lt;&gt;0),ROUND(Table1[[#This Row],[WHRS KW RECOVERED PER DAY]]/Table1[[#This Row],[WHRS RH]],1))</f>
        <v>0</v>
      </c>
      <c r="Z180" s="8"/>
      <c r="AA180" s="1"/>
      <c r="AB180" s="1"/>
      <c r="AC180" s="1"/>
      <c r="AD180" s="1"/>
      <c r="AE180" s="1"/>
      <c r="AF180" s="1" t="str">
        <f t="shared" si="8"/>
        <v/>
      </c>
      <c r="AG180" s="1" t="str">
        <f t="shared" si="9"/>
        <v/>
      </c>
      <c r="AH180" s="1" t="str">
        <f t="shared" si="10"/>
        <v/>
      </c>
      <c r="AI180" s="1" t="str">
        <f>IF(AH180="", "", SUM($AH$4:AH180))</f>
        <v/>
      </c>
      <c r="AJ180" s="9"/>
    </row>
    <row r="181" spans="1:36">
      <c r="A181" s="7"/>
      <c r="W181" s="1" t="str">
        <f>IF(Table1[[#This Row],[WHRS NET KW TOTAL]]="","", Table1[[#This Row],[WHRS NET KW TOTAL]]-U180)</f>
        <v/>
      </c>
      <c r="X181" s="6">
        <f>Table1[[#This Row],[WHRS  KW TOTAL]]-V180</f>
        <v>0</v>
      </c>
      <c r="Y181" s="6" t="b">
        <f>IF(AND(Table1[[#This Row],[WHRS KW RECOVERED PER DAY]]&lt;&gt;0,Table1[[#This Row],[WHRS RH]]&lt;&gt;0),ROUND(Table1[[#This Row],[WHRS KW RECOVERED PER DAY]]/Table1[[#This Row],[WHRS RH]],1))</f>
        <v>0</v>
      </c>
      <c r="Z181" s="8"/>
      <c r="AA181" s="1"/>
      <c r="AB181" s="1"/>
      <c r="AC181" s="1"/>
      <c r="AD181" s="1"/>
      <c r="AE181" s="1"/>
      <c r="AF181" s="1" t="str">
        <f t="shared" si="8"/>
        <v/>
      </c>
      <c r="AG181" s="1" t="str">
        <f t="shared" si="9"/>
        <v/>
      </c>
      <c r="AH181" s="1" t="str">
        <f t="shared" si="10"/>
        <v/>
      </c>
      <c r="AI181" s="1" t="str">
        <f>IF(AH181="", "", SUM($AH$4:AH181))</f>
        <v/>
      </c>
      <c r="AJ181" s="9"/>
    </row>
    <row r="182" spans="1:36">
      <c r="A182" s="7"/>
      <c r="W182" s="1" t="str">
        <f>IF(Table1[[#This Row],[WHRS NET KW TOTAL]]="","", Table1[[#This Row],[WHRS NET KW TOTAL]]-U181)</f>
        <v/>
      </c>
      <c r="X182" s="6">
        <f>Table1[[#This Row],[WHRS  KW TOTAL]]-V181</f>
        <v>0</v>
      </c>
      <c r="Y182" s="6" t="b">
        <f>IF(AND(Table1[[#This Row],[WHRS KW RECOVERED PER DAY]]&lt;&gt;0,Table1[[#This Row],[WHRS RH]]&lt;&gt;0),ROUND(Table1[[#This Row],[WHRS KW RECOVERED PER DAY]]/Table1[[#This Row],[WHRS RH]],1))</f>
        <v>0</v>
      </c>
      <c r="Z182" s="8"/>
      <c r="AA182" s="1"/>
      <c r="AB182" s="1"/>
      <c r="AC182" s="1"/>
      <c r="AD182" s="1"/>
      <c r="AE182" s="1"/>
      <c r="AF182" s="1" t="str">
        <f t="shared" si="8"/>
        <v/>
      </c>
      <c r="AG182" s="1" t="str">
        <f t="shared" si="9"/>
        <v/>
      </c>
      <c r="AH182" s="1" t="str">
        <f t="shared" si="10"/>
        <v/>
      </c>
      <c r="AI182" s="1" t="str">
        <f>IF(AH182="", "", SUM($AH$4:AH182))</f>
        <v/>
      </c>
      <c r="AJ182" s="9"/>
    </row>
    <row r="183" spans="1:36">
      <c r="A183" s="7"/>
      <c r="W183" s="1" t="str">
        <f>IF(Table1[[#This Row],[WHRS NET KW TOTAL]]="","", Table1[[#This Row],[WHRS NET KW TOTAL]]-U182)</f>
        <v/>
      </c>
      <c r="X183" s="6">
        <f>Table1[[#This Row],[WHRS  KW TOTAL]]-V182</f>
        <v>0</v>
      </c>
      <c r="Y183" s="6" t="b">
        <f>IF(AND(Table1[[#This Row],[WHRS KW RECOVERED PER DAY]]&lt;&gt;0,Table1[[#This Row],[WHRS RH]]&lt;&gt;0),ROUND(Table1[[#This Row],[WHRS KW RECOVERED PER DAY]]/Table1[[#This Row],[WHRS RH]],1))</f>
        <v>0</v>
      </c>
      <c r="Z183" s="8"/>
      <c r="AA183" s="1"/>
      <c r="AB183" s="1"/>
      <c r="AC183" s="1"/>
      <c r="AD183" s="1"/>
      <c r="AE183" s="1"/>
      <c r="AF183" s="1" t="str">
        <f t="shared" si="8"/>
        <v/>
      </c>
      <c r="AG183" s="1" t="str">
        <f t="shared" si="9"/>
        <v/>
      </c>
      <c r="AH183" s="1" t="str">
        <f t="shared" si="10"/>
        <v/>
      </c>
      <c r="AI183" s="1" t="str">
        <f>IF(AH183="", "", SUM($AH$4:AH183))</f>
        <v/>
      </c>
      <c r="AJ183" s="9"/>
    </row>
    <row r="184" spans="1:36">
      <c r="A184" s="7"/>
      <c r="W184" s="1" t="str">
        <f>IF(Table1[[#This Row],[WHRS NET KW TOTAL]]="","", Table1[[#This Row],[WHRS NET KW TOTAL]]-U183)</f>
        <v/>
      </c>
      <c r="X184" s="6">
        <f>Table1[[#This Row],[WHRS  KW TOTAL]]-V183</f>
        <v>0</v>
      </c>
      <c r="Y184" s="6" t="b">
        <f>IF(AND(Table1[[#This Row],[WHRS KW RECOVERED PER DAY]]&lt;&gt;0,Table1[[#This Row],[WHRS RH]]&lt;&gt;0),ROUND(Table1[[#This Row],[WHRS KW RECOVERED PER DAY]]/Table1[[#This Row],[WHRS RH]],1))</f>
        <v>0</v>
      </c>
      <c r="Z184" s="8"/>
      <c r="AA184" s="1"/>
      <c r="AB184" s="1"/>
      <c r="AC184" s="1"/>
      <c r="AD184" s="1"/>
      <c r="AE184" s="1"/>
      <c r="AF184" s="1" t="str">
        <f t="shared" si="8"/>
        <v/>
      </c>
      <c r="AG184" s="1" t="str">
        <f t="shared" si="9"/>
        <v/>
      </c>
      <c r="AH184" s="1" t="str">
        <f t="shared" si="10"/>
        <v/>
      </c>
      <c r="AI184" s="1" t="str">
        <f>IF(AH184="", "", SUM($AH$4:AH184))</f>
        <v/>
      </c>
      <c r="AJ184" s="9"/>
    </row>
    <row r="185" spans="1:36">
      <c r="A185" s="7"/>
      <c r="W185" s="1" t="str">
        <f>IF(Table1[[#This Row],[WHRS NET KW TOTAL]]="","", Table1[[#This Row],[WHRS NET KW TOTAL]]-U184)</f>
        <v/>
      </c>
      <c r="X185" s="6">
        <f>Table1[[#This Row],[WHRS  KW TOTAL]]-V184</f>
        <v>0</v>
      </c>
      <c r="Y185" s="6" t="b">
        <f>IF(AND(Table1[[#This Row],[WHRS KW RECOVERED PER DAY]]&lt;&gt;0,Table1[[#This Row],[WHRS RH]]&lt;&gt;0),ROUND(Table1[[#This Row],[WHRS KW RECOVERED PER DAY]]/Table1[[#This Row],[WHRS RH]],1))</f>
        <v>0</v>
      </c>
      <c r="Z185" s="8"/>
      <c r="AA185" s="1"/>
      <c r="AB185" s="1"/>
      <c r="AC185" s="1"/>
      <c r="AD185" s="1"/>
      <c r="AE185" s="1"/>
      <c r="AF185" s="1" t="str">
        <f t="shared" si="8"/>
        <v/>
      </c>
      <c r="AG185" s="1" t="str">
        <f t="shared" si="9"/>
        <v/>
      </c>
      <c r="AH185" s="1" t="str">
        <f t="shared" si="10"/>
        <v/>
      </c>
      <c r="AI185" s="1" t="str">
        <f>IF(AH185="", "", SUM($AH$4:AH185))</f>
        <v/>
      </c>
      <c r="AJ185" s="9"/>
    </row>
    <row r="186" spans="1:36">
      <c r="A186" s="7"/>
      <c r="W186" s="1" t="str">
        <f>IF(Table1[[#This Row],[WHRS NET KW TOTAL]]="","", Table1[[#This Row],[WHRS NET KW TOTAL]]-U185)</f>
        <v/>
      </c>
      <c r="X186" s="6">
        <f>Table1[[#This Row],[WHRS  KW TOTAL]]-V185</f>
        <v>0</v>
      </c>
      <c r="Y186" s="6" t="b">
        <f>IF(AND(Table1[[#This Row],[WHRS KW RECOVERED PER DAY]]&lt;&gt;0,Table1[[#This Row],[WHRS RH]]&lt;&gt;0),ROUND(Table1[[#This Row],[WHRS KW RECOVERED PER DAY]]/Table1[[#This Row],[WHRS RH]],1))</f>
        <v>0</v>
      </c>
      <c r="Z186" s="8"/>
      <c r="AA186" s="1"/>
      <c r="AB186" s="1"/>
      <c r="AC186" s="1"/>
      <c r="AD186" s="1"/>
      <c r="AE186" s="1"/>
      <c r="AF186" s="1" t="str">
        <f t="shared" si="8"/>
        <v/>
      </c>
      <c r="AG186" s="1" t="str">
        <f t="shared" si="9"/>
        <v/>
      </c>
      <c r="AH186" s="1" t="str">
        <f t="shared" si="10"/>
        <v/>
      </c>
      <c r="AI186" s="1" t="str">
        <f>IF(AH186="", "", SUM($AH$4:AH186))</f>
        <v/>
      </c>
      <c r="AJ186" s="9"/>
    </row>
    <row r="187" spans="1:36">
      <c r="A187" s="7"/>
      <c r="W187" s="1" t="str">
        <f>IF(Table1[[#This Row],[WHRS NET KW TOTAL]]="","", Table1[[#This Row],[WHRS NET KW TOTAL]]-U186)</f>
        <v/>
      </c>
      <c r="X187" s="6">
        <f>Table1[[#This Row],[WHRS  KW TOTAL]]-V186</f>
        <v>0</v>
      </c>
      <c r="Y187" s="6" t="b">
        <f>IF(AND(Table1[[#This Row],[WHRS KW RECOVERED PER DAY]]&lt;&gt;0,Table1[[#This Row],[WHRS RH]]&lt;&gt;0),ROUND(Table1[[#This Row],[WHRS KW RECOVERED PER DAY]]/Table1[[#This Row],[WHRS RH]],1))</f>
        <v>0</v>
      </c>
      <c r="Z187" s="8"/>
      <c r="AA187" s="1"/>
      <c r="AB187" s="1"/>
      <c r="AC187" s="1"/>
      <c r="AD187" s="1"/>
      <c r="AE187" s="1"/>
      <c r="AF187" s="1" t="str">
        <f t="shared" si="8"/>
        <v/>
      </c>
      <c r="AG187" s="1" t="str">
        <f t="shared" si="9"/>
        <v/>
      </c>
      <c r="AH187" s="1" t="str">
        <f t="shared" si="10"/>
        <v/>
      </c>
      <c r="AI187" s="1" t="str">
        <f>IF(AH187="", "", SUM($AH$4:AH187))</f>
        <v/>
      </c>
      <c r="AJ187" s="9"/>
    </row>
    <row r="188" spans="1:36">
      <c r="A188" s="7"/>
      <c r="W188" s="1" t="str">
        <f>IF(Table1[[#This Row],[WHRS NET KW TOTAL]]="","", Table1[[#This Row],[WHRS NET KW TOTAL]]-U187)</f>
        <v/>
      </c>
      <c r="X188" s="6">
        <f>Table1[[#This Row],[WHRS  KW TOTAL]]-V187</f>
        <v>0</v>
      </c>
      <c r="Y188" s="6" t="b">
        <f>IF(AND(Table1[[#This Row],[WHRS KW RECOVERED PER DAY]]&lt;&gt;0,Table1[[#This Row],[WHRS RH]]&lt;&gt;0),ROUND(Table1[[#This Row],[WHRS KW RECOVERED PER DAY]]/Table1[[#This Row],[WHRS RH]],1))</f>
        <v>0</v>
      </c>
      <c r="Z188" s="8"/>
      <c r="AA188" s="1"/>
      <c r="AB188" s="1"/>
      <c r="AC188" s="1"/>
      <c r="AD188" s="1"/>
      <c r="AE188" s="1"/>
      <c r="AF188" s="1" t="str">
        <f t="shared" si="8"/>
        <v/>
      </c>
      <c r="AG188" s="1" t="str">
        <f t="shared" si="9"/>
        <v/>
      </c>
      <c r="AH188" s="1" t="str">
        <f t="shared" si="10"/>
        <v/>
      </c>
      <c r="AI188" s="1" t="str">
        <f>IF(AH188="", "", SUM($AH$4:AH188))</f>
        <v/>
      </c>
      <c r="AJ188" s="9"/>
    </row>
    <row r="189" spans="1:36">
      <c r="A189" s="7"/>
      <c r="W189" s="1" t="str">
        <f>IF(Table1[[#This Row],[WHRS NET KW TOTAL]]="","", Table1[[#This Row],[WHRS NET KW TOTAL]]-U188)</f>
        <v/>
      </c>
      <c r="X189" s="6">
        <f>Table1[[#This Row],[WHRS  KW TOTAL]]-V188</f>
        <v>0</v>
      </c>
      <c r="Y189" s="6" t="b">
        <f>IF(AND(Table1[[#This Row],[WHRS KW RECOVERED PER DAY]]&lt;&gt;0,Table1[[#This Row],[WHRS RH]]&lt;&gt;0),ROUND(Table1[[#This Row],[WHRS KW RECOVERED PER DAY]]/Table1[[#This Row],[WHRS RH]],1))</f>
        <v>0</v>
      </c>
      <c r="Z189" s="8"/>
      <c r="AA189" s="1"/>
      <c r="AB189" s="1"/>
      <c r="AC189" s="1"/>
      <c r="AD189" s="1"/>
      <c r="AE189" s="1"/>
      <c r="AF189" s="1" t="str">
        <f t="shared" si="8"/>
        <v/>
      </c>
      <c r="AG189" s="1" t="str">
        <f t="shared" si="9"/>
        <v/>
      </c>
      <c r="AH189" s="1" t="str">
        <f t="shared" si="10"/>
        <v/>
      </c>
      <c r="AI189" s="1" t="str">
        <f>IF(AH189="", "", SUM($AH$4:AH189))</f>
        <v/>
      </c>
      <c r="AJ189" s="9"/>
    </row>
    <row r="190" spans="1:36">
      <c r="A190" s="7"/>
      <c r="W190" s="1" t="str">
        <f>IF(Table1[[#This Row],[WHRS NET KW TOTAL]]="","", Table1[[#This Row],[WHRS NET KW TOTAL]]-U189)</f>
        <v/>
      </c>
      <c r="X190" s="6">
        <f>Table1[[#This Row],[WHRS  KW TOTAL]]-V189</f>
        <v>0</v>
      </c>
      <c r="Y190" s="6" t="b">
        <f>IF(AND(Table1[[#This Row],[WHRS KW RECOVERED PER DAY]]&lt;&gt;0,Table1[[#This Row],[WHRS RH]]&lt;&gt;0),ROUND(Table1[[#This Row],[WHRS KW RECOVERED PER DAY]]/Table1[[#This Row],[WHRS RH]],1))</f>
        <v>0</v>
      </c>
      <c r="Z190" s="8"/>
      <c r="AA190" s="1"/>
      <c r="AB190" s="1"/>
      <c r="AC190" s="1"/>
      <c r="AD190" s="1"/>
      <c r="AE190" s="1"/>
      <c r="AF190" s="1" t="str">
        <f t="shared" si="8"/>
        <v/>
      </c>
      <c r="AG190" s="1" t="str">
        <f t="shared" si="9"/>
        <v/>
      </c>
      <c r="AH190" s="1" t="str">
        <f t="shared" si="10"/>
        <v/>
      </c>
      <c r="AI190" s="1" t="str">
        <f>IF(AH190="", "", SUM($AH$4:AH190))</f>
        <v/>
      </c>
      <c r="AJ190" s="9"/>
    </row>
    <row r="191" spans="1:36">
      <c r="A191" s="7"/>
      <c r="W191" s="1" t="str">
        <f>IF(Table1[[#This Row],[WHRS NET KW TOTAL]]="","", Table1[[#This Row],[WHRS NET KW TOTAL]]-U190)</f>
        <v/>
      </c>
      <c r="X191" s="6">
        <f>Table1[[#This Row],[WHRS  KW TOTAL]]-V190</f>
        <v>0</v>
      </c>
      <c r="Y191" s="6" t="b">
        <f>IF(AND(Table1[[#This Row],[WHRS KW RECOVERED PER DAY]]&lt;&gt;0,Table1[[#This Row],[WHRS RH]]&lt;&gt;0),ROUND(Table1[[#This Row],[WHRS KW RECOVERED PER DAY]]/Table1[[#This Row],[WHRS RH]],1))</f>
        <v>0</v>
      </c>
      <c r="Z191" s="8"/>
      <c r="AA191" s="1"/>
      <c r="AB191" s="1"/>
      <c r="AC191" s="1"/>
      <c r="AD191" s="1"/>
      <c r="AE191" s="1"/>
      <c r="AF191" s="1" t="str">
        <f t="shared" si="8"/>
        <v/>
      </c>
      <c r="AG191" s="1" t="str">
        <f t="shared" si="9"/>
        <v/>
      </c>
      <c r="AH191" s="1" t="str">
        <f t="shared" si="10"/>
        <v/>
      </c>
      <c r="AI191" s="1" t="str">
        <f>IF(AH191="", "", SUM($AH$4:AH191))</f>
        <v/>
      </c>
      <c r="AJ191" s="9"/>
    </row>
    <row r="192" spans="1:36">
      <c r="A192" s="7"/>
      <c r="W192" s="1" t="str">
        <f>IF(Table1[[#This Row],[WHRS NET KW TOTAL]]="","", Table1[[#This Row],[WHRS NET KW TOTAL]]-U191)</f>
        <v/>
      </c>
      <c r="X192" s="6">
        <f>Table1[[#This Row],[WHRS  KW TOTAL]]-V191</f>
        <v>0</v>
      </c>
      <c r="Y192" s="6" t="b">
        <f>IF(AND(Table1[[#This Row],[WHRS KW RECOVERED PER DAY]]&lt;&gt;0,Table1[[#This Row],[WHRS RH]]&lt;&gt;0),ROUND(Table1[[#This Row],[WHRS KW RECOVERED PER DAY]]/Table1[[#This Row],[WHRS RH]],1))</f>
        <v>0</v>
      </c>
      <c r="Z192" s="8"/>
      <c r="AA192" s="1"/>
      <c r="AB192" s="1"/>
      <c r="AC192" s="1"/>
      <c r="AD192" s="1"/>
      <c r="AE192" s="1"/>
      <c r="AF192" s="1" t="str">
        <f t="shared" si="8"/>
        <v/>
      </c>
      <c r="AG192" s="1" t="str">
        <f t="shared" si="9"/>
        <v/>
      </c>
      <c r="AH192" s="1" t="str">
        <f t="shared" si="10"/>
        <v/>
      </c>
      <c r="AI192" s="1" t="str">
        <f>IF(AH192="", "", SUM($AH$4:AH192))</f>
        <v/>
      </c>
      <c r="AJ192" s="9"/>
    </row>
    <row r="193" spans="1:36">
      <c r="A193" s="7"/>
      <c r="W193" s="1" t="str">
        <f>IF(Table1[[#This Row],[WHRS NET KW TOTAL]]="","", Table1[[#This Row],[WHRS NET KW TOTAL]]-U192)</f>
        <v/>
      </c>
      <c r="X193" s="6">
        <f>Table1[[#This Row],[WHRS  KW TOTAL]]-V192</f>
        <v>0</v>
      </c>
      <c r="Y193" s="6" t="b">
        <f>IF(AND(Table1[[#This Row],[WHRS KW RECOVERED PER DAY]]&lt;&gt;0,Table1[[#This Row],[WHRS RH]]&lt;&gt;0),ROUND(Table1[[#This Row],[WHRS KW RECOVERED PER DAY]]/Table1[[#This Row],[WHRS RH]],1))</f>
        <v>0</v>
      </c>
      <c r="Z193" s="8"/>
      <c r="AA193" s="1"/>
      <c r="AB193" s="1"/>
      <c r="AC193" s="1"/>
      <c r="AD193" s="1"/>
      <c r="AE193" s="1"/>
      <c r="AF193" s="1" t="str">
        <f t="shared" si="8"/>
        <v/>
      </c>
      <c r="AG193" s="1" t="str">
        <f t="shared" si="9"/>
        <v/>
      </c>
      <c r="AH193" s="1" t="str">
        <f t="shared" si="10"/>
        <v/>
      </c>
      <c r="AI193" s="1" t="str">
        <f>IF(AH193="", "", SUM($AH$4:AH193))</f>
        <v/>
      </c>
      <c r="AJ193" s="9"/>
    </row>
    <row r="194" spans="1:36">
      <c r="A194" s="7"/>
      <c r="W194" s="1" t="str">
        <f>IF(Table1[[#This Row],[WHRS NET KW TOTAL]]="","", Table1[[#This Row],[WHRS NET KW TOTAL]]-U193)</f>
        <v/>
      </c>
      <c r="X194" s="6">
        <f>Table1[[#This Row],[WHRS  KW TOTAL]]-V193</f>
        <v>0</v>
      </c>
      <c r="Y194" s="6" t="b">
        <f>IF(AND(Table1[[#This Row],[WHRS KW RECOVERED PER DAY]]&lt;&gt;0,Table1[[#This Row],[WHRS RH]]&lt;&gt;0),ROUND(Table1[[#This Row],[WHRS KW RECOVERED PER DAY]]/Table1[[#This Row],[WHRS RH]],1))</f>
        <v>0</v>
      </c>
      <c r="Z194" s="8"/>
      <c r="AA194" s="1"/>
      <c r="AB194" s="1"/>
      <c r="AC194" s="1"/>
      <c r="AD194" s="1"/>
      <c r="AE194" s="1"/>
      <c r="AF194" s="1" t="str">
        <f t="shared" si="8"/>
        <v/>
      </c>
      <c r="AG194" s="1" t="str">
        <f t="shared" si="9"/>
        <v/>
      </c>
      <c r="AH194" s="1" t="str">
        <f t="shared" si="10"/>
        <v/>
      </c>
      <c r="AI194" s="1" t="str">
        <f>IF(AH194="", "", SUM($AH$4:AH194))</f>
        <v/>
      </c>
      <c r="AJ194" s="9"/>
    </row>
    <row r="195" spans="1:36">
      <c r="A195" s="7"/>
      <c r="W195" s="1" t="str">
        <f>IF(Table1[[#This Row],[WHRS NET KW TOTAL]]="","", Table1[[#This Row],[WHRS NET KW TOTAL]]-U194)</f>
        <v/>
      </c>
      <c r="X195" s="6">
        <f>Table1[[#This Row],[WHRS  KW TOTAL]]-V194</f>
        <v>0</v>
      </c>
      <c r="Y195" s="6" t="b">
        <f>IF(AND(Table1[[#This Row],[WHRS KW RECOVERED PER DAY]]&lt;&gt;0,Table1[[#This Row],[WHRS RH]]&lt;&gt;0),ROUND(Table1[[#This Row],[WHRS KW RECOVERED PER DAY]]/Table1[[#This Row],[WHRS RH]],1))</f>
        <v>0</v>
      </c>
      <c r="Z195" s="8"/>
      <c r="AA195" s="1"/>
      <c r="AB195" s="1"/>
      <c r="AC195" s="1"/>
      <c r="AD195" s="1"/>
      <c r="AE195" s="1"/>
      <c r="AF195" s="1" t="str">
        <f t="shared" si="8"/>
        <v/>
      </c>
      <c r="AG195" s="1" t="str">
        <f t="shared" si="9"/>
        <v/>
      </c>
      <c r="AH195" s="1" t="str">
        <f t="shared" si="10"/>
        <v/>
      </c>
      <c r="AI195" s="1" t="str">
        <f>IF(AH195="", "", SUM($AH$4:AH195))</f>
        <v/>
      </c>
      <c r="AJ195" s="9"/>
    </row>
    <row r="196" spans="1:36">
      <c r="A196" s="7"/>
      <c r="W196" s="1" t="str">
        <f>IF(Table1[[#This Row],[WHRS NET KW TOTAL]]="","", Table1[[#This Row],[WHRS NET KW TOTAL]]-U195)</f>
        <v/>
      </c>
      <c r="X196" s="6">
        <f>Table1[[#This Row],[WHRS  KW TOTAL]]-V195</f>
        <v>0</v>
      </c>
      <c r="Y196" s="6" t="b">
        <f>IF(AND(Table1[[#This Row],[WHRS KW RECOVERED PER DAY]]&lt;&gt;0,Table1[[#This Row],[WHRS RH]]&lt;&gt;0),ROUND(Table1[[#This Row],[WHRS KW RECOVERED PER DAY]]/Table1[[#This Row],[WHRS RH]],1))</f>
        <v>0</v>
      </c>
      <c r="Z196" s="8"/>
      <c r="AA196" s="1"/>
      <c r="AB196" s="1"/>
      <c r="AC196" s="1"/>
      <c r="AD196" s="1"/>
      <c r="AE196" s="1"/>
      <c r="AF196" s="1" t="str">
        <f t="shared" si="8"/>
        <v/>
      </c>
      <c r="AG196" s="1" t="str">
        <f t="shared" si="9"/>
        <v/>
      </c>
      <c r="AH196" s="1" t="str">
        <f t="shared" si="10"/>
        <v/>
      </c>
      <c r="AI196" s="1" t="str">
        <f>IF(AH196="", "", SUM($AH$4:AH196))</f>
        <v/>
      </c>
      <c r="AJ196" s="9"/>
    </row>
    <row r="197" spans="1:36">
      <c r="A197" s="7"/>
      <c r="W197" s="1" t="str">
        <f>IF(Table1[[#This Row],[WHRS NET KW TOTAL]]="","", Table1[[#This Row],[WHRS NET KW TOTAL]]-U196)</f>
        <v/>
      </c>
      <c r="X197" s="6">
        <f>Table1[[#This Row],[WHRS  KW TOTAL]]-V196</f>
        <v>0</v>
      </c>
      <c r="Y197" s="6" t="b">
        <f>IF(AND(Table1[[#This Row],[WHRS KW RECOVERED PER DAY]]&lt;&gt;0,Table1[[#This Row],[WHRS RH]]&lt;&gt;0),ROUND(Table1[[#This Row],[WHRS KW RECOVERED PER DAY]]/Table1[[#This Row],[WHRS RH]],1))</f>
        <v>0</v>
      </c>
      <c r="Z197" s="8"/>
      <c r="AA197" s="1"/>
      <c r="AB197" s="1"/>
      <c r="AC197" s="1"/>
      <c r="AD197" s="1"/>
      <c r="AE197" s="1"/>
      <c r="AF197" s="1" t="str">
        <f t="shared" ref="AF197:AF260" si="11">IF(TRIM(C197)="", "", IF(TRIM(C197)="LNG", 192.1, 182.4))</f>
        <v/>
      </c>
      <c r="AG197" s="1" t="str">
        <f t="shared" ref="AG197:AG260" si="12">IF(C197="", "", _xlfn.IFS(C197="LNG", 1345, C197="LSMGO", 1280, C197="VLSFO", 820, C197="HSFO", 635, TRUE, ""))</f>
        <v/>
      </c>
      <c r="AH197" s="1" t="str">
        <f t="shared" ref="AH197:AH260" si="13">IF(OR(W197="", AF197="", AG197=""), "", W197 * (AF197 / 1000000) * AG197)</f>
        <v/>
      </c>
      <c r="AI197" s="1" t="str">
        <f>IF(AH197="", "", SUM($AH$4:AH197))</f>
        <v/>
      </c>
      <c r="AJ197" s="9"/>
    </row>
    <row r="198" spans="1:36">
      <c r="A198" s="7"/>
      <c r="W198" s="1" t="str">
        <f>IF(Table1[[#This Row],[WHRS NET KW TOTAL]]="","", Table1[[#This Row],[WHRS NET KW TOTAL]]-U197)</f>
        <v/>
      </c>
      <c r="X198" s="6">
        <f>Table1[[#This Row],[WHRS  KW TOTAL]]-V197</f>
        <v>0</v>
      </c>
      <c r="Y198" s="6" t="b">
        <f>IF(AND(Table1[[#This Row],[WHRS KW RECOVERED PER DAY]]&lt;&gt;0,Table1[[#This Row],[WHRS RH]]&lt;&gt;0),ROUND(Table1[[#This Row],[WHRS KW RECOVERED PER DAY]]/Table1[[#This Row],[WHRS RH]],1))</f>
        <v>0</v>
      </c>
      <c r="Z198" s="8"/>
      <c r="AA198" s="1"/>
      <c r="AB198" s="1"/>
      <c r="AC198" s="1"/>
      <c r="AD198" s="1"/>
      <c r="AE198" s="1"/>
      <c r="AF198" s="1" t="str">
        <f t="shared" si="11"/>
        <v/>
      </c>
      <c r="AG198" s="1" t="str">
        <f t="shared" si="12"/>
        <v/>
      </c>
      <c r="AH198" s="1" t="str">
        <f t="shared" si="13"/>
        <v/>
      </c>
      <c r="AI198" s="1" t="str">
        <f>IF(AH198="", "", SUM($AH$4:AH198))</f>
        <v/>
      </c>
      <c r="AJ198" s="9"/>
    </row>
    <row r="199" spans="1:36">
      <c r="A199" s="7"/>
      <c r="W199" s="1" t="str">
        <f>IF(Table1[[#This Row],[WHRS NET KW TOTAL]]="","", Table1[[#This Row],[WHRS NET KW TOTAL]]-U198)</f>
        <v/>
      </c>
      <c r="X199" s="6">
        <f>Table1[[#This Row],[WHRS  KW TOTAL]]-V198</f>
        <v>0</v>
      </c>
      <c r="Y199" s="6" t="b">
        <f>IF(AND(Table1[[#This Row],[WHRS KW RECOVERED PER DAY]]&lt;&gt;0,Table1[[#This Row],[WHRS RH]]&lt;&gt;0),ROUND(Table1[[#This Row],[WHRS KW RECOVERED PER DAY]]/Table1[[#This Row],[WHRS RH]],1))</f>
        <v>0</v>
      </c>
      <c r="Z199" s="8"/>
      <c r="AA199" s="1"/>
      <c r="AB199" s="1"/>
      <c r="AC199" s="1"/>
      <c r="AD199" s="1"/>
      <c r="AE199" s="1"/>
      <c r="AF199" s="1" t="str">
        <f t="shared" si="11"/>
        <v/>
      </c>
      <c r="AG199" s="1" t="str">
        <f t="shared" si="12"/>
        <v/>
      </c>
      <c r="AH199" s="1" t="str">
        <f t="shared" si="13"/>
        <v/>
      </c>
      <c r="AI199" s="1" t="str">
        <f>IF(AH199="", "", SUM($AH$4:AH199))</f>
        <v/>
      </c>
      <c r="AJ199" s="9"/>
    </row>
    <row r="200" spans="1:36">
      <c r="A200" s="7"/>
      <c r="W200" s="1" t="str">
        <f>IF(Table1[[#This Row],[WHRS NET KW TOTAL]]="","", Table1[[#This Row],[WHRS NET KW TOTAL]]-U199)</f>
        <v/>
      </c>
      <c r="X200" s="6">
        <f>Table1[[#This Row],[WHRS  KW TOTAL]]-V199</f>
        <v>0</v>
      </c>
      <c r="Y200" s="6" t="b">
        <f>IF(AND(Table1[[#This Row],[WHRS KW RECOVERED PER DAY]]&lt;&gt;0,Table1[[#This Row],[WHRS RH]]&lt;&gt;0),ROUND(Table1[[#This Row],[WHRS KW RECOVERED PER DAY]]/Table1[[#This Row],[WHRS RH]],1))</f>
        <v>0</v>
      </c>
      <c r="Z200" s="8"/>
      <c r="AA200" s="1"/>
      <c r="AB200" s="1"/>
      <c r="AC200" s="1"/>
      <c r="AD200" s="1"/>
      <c r="AE200" s="1"/>
      <c r="AF200" s="1" t="str">
        <f t="shared" si="11"/>
        <v/>
      </c>
      <c r="AG200" s="1" t="str">
        <f t="shared" si="12"/>
        <v/>
      </c>
      <c r="AH200" s="1" t="str">
        <f t="shared" si="13"/>
        <v/>
      </c>
      <c r="AI200" s="1" t="str">
        <f>IF(AH200="", "", SUM($AH$4:AH200))</f>
        <v/>
      </c>
      <c r="AJ200" s="9"/>
    </row>
    <row r="201" spans="1:36">
      <c r="A201" s="7"/>
      <c r="W201" s="1" t="str">
        <f>IF(Table1[[#This Row],[WHRS NET KW TOTAL]]="","", Table1[[#This Row],[WHRS NET KW TOTAL]]-U200)</f>
        <v/>
      </c>
      <c r="X201" s="6">
        <f>Table1[[#This Row],[WHRS  KW TOTAL]]-V200</f>
        <v>0</v>
      </c>
      <c r="Y201" s="6" t="b">
        <f>IF(AND(Table1[[#This Row],[WHRS KW RECOVERED PER DAY]]&lt;&gt;0,Table1[[#This Row],[WHRS RH]]&lt;&gt;0),ROUND(Table1[[#This Row],[WHRS KW RECOVERED PER DAY]]/Table1[[#This Row],[WHRS RH]],1))</f>
        <v>0</v>
      </c>
      <c r="Z201" s="8"/>
      <c r="AA201" s="1"/>
      <c r="AB201" s="1"/>
      <c r="AC201" s="1"/>
      <c r="AD201" s="1"/>
      <c r="AE201" s="1"/>
      <c r="AF201" s="1" t="str">
        <f t="shared" si="11"/>
        <v/>
      </c>
      <c r="AG201" s="1" t="str">
        <f t="shared" si="12"/>
        <v/>
      </c>
      <c r="AH201" s="1" t="str">
        <f t="shared" si="13"/>
        <v/>
      </c>
      <c r="AI201" s="1" t="str">
        <f>IF(AH201="", "", SUM($AH$4:AH201))</f>
        <v/>
      </c>
      <c r="AJ201" s="9"/>
    </row>
    <row r="202" spans="1:36">
      <c r="A202" s="7"/>
      <c r="W202" s="1" t="str">
        <f>IF(Table1[[#This Row],[WHRS NET KW TOTAL]]="","", Table1[[#This Row],[WHRS NET KW TOTAL]]-U201)</f>
        <v/>
      </c>
      <c r="X202" s="6">
        <f>Table1[[#This Row],[WHRS  KW TOTAL]]-V201</f>
        <v>0</v>
      </c>
      <c r="Y202" s="6" t="b">
        <f>IF(AND(Table1[[#This Row],[WHRS KW RECOVERED PER DAY]]&lt;&gt;0,Table1[[#This Row],[WHRS RH]]&lt;&gt;0),ROUND(Table1[[#This Row],[WHRS KW RECOVERED PER DAY]]/Table1[[#This Row],[WHRS RH]],1))</f>
        <v>0</v>
      </c>
      <c r="Z202" s="8"/>
      <c r="AA202" s="1"/>
      <c r="AB202" s="1"/>
      <c r="AC202" s="1"/>
      <c r="AD202" s="1"/>
      <c r="AE202" s="1"/>
      <c r="AF202" s="1" t="str">
        <f t="shared" si="11"/>
        <v/>
      </c>
      <c r="AG202" s="1" t="str">
        <f t="shared" si="12"/>
        <v/>
      </c>
      <c r="AH202" s="1" t="str">
        <f t="shared" si="13"/>
        <v/>
      </c>
      <c r="AI202" s="1" t="str">
        <f>IF(AH202="", "", SUM($AH$4:AH202))</f>
        <v/>
      </c>
      <c r="AJ202" s="9"/>
    </row>
    <row r="203" spans="1:36">
      <c r="A203" s="7"/>
      <c r="W203" s="1" t="str">
        <f>IF(Table1[[#This Row],[WHRS NET KW TOTAL]]="","", Table1[[#This Row],[WHRS NET KW TOTAL]]-U202)</f>
        <v/>
      </c>
      <c r="X203" s="6">
        <f>Table1[[#This Row],[WHRS  KW TOTAL]]-V202</f>
        <v>0</v>
      </c>
      <c r="Y203" s="6" t="b">
        <f>IF(AND(Table1[[#This Row],[WHRS KW RECOVERED PER DAY]]&lt;&gt;0,Table1[[#This Row],[WHRS RH]]&lt;&gt;0),ROUND(Table1[[#This Row],[WHRS KW RECOVERED PER DAY]]/Table1[[#This Row],[WHRS RH]],1))</f>
        <v>0</v>
      </c>
      <c r="Z203" s="8"/>
      <c r="AA203" s="1"/>
      <c r="AB203" s="1"/>
      <c r="AC203" s="1"/>
      <c r="AD203" s="1"/>
      <c r="AE203" s="1"/>
      <c r="AF203" s="1" t="str">
        <f t="shared" si="11"/>
        <v/>
      </c>
      <c r="AG203" s="1" t="str">
        <f t="shared" si="12"/>
        <v/>
      </c>
      <c r="AH203" s="1" t="str">
        <f t="shared" si="13"/>
        <v/>
      </c>
      <c r="AI203" s="1" t="str">
        <f>IF(AH203="", "", SUM($AH$4:AH203))</f>
        <v/>
      </c>
      <c r="AJ203" s="9"/>
    </row>
    <row r="204" spans="1:36">
      <c r="A204" s="7"/>
      <c r="W204" s="1" t="str">
        <f>IF(Table1[[#This Row],[WHRS NET KW TOTAL]]="","", Table1[[#This Row],[WHRS NET KW TOTAL]]-U203)</f>
        <v/>
      </c>
      <c r="X204" s="6">
        <f>Table1[[#This Row],[WHRS  KW TOTAL]]-V203</f>
        <v>0</v>
      </c>
      <c r="Y204" s="6" t="b">
        <f>IF(AND(Table1[[#This Row],[WHRS KW RECOVERED PER DAY]]&lt;&gt;0,Table1[[#This Row],[WHRS RH]]&lt;&gt;0),ROUND(Table1[[#This Row],[WHRS KW RECOVERED PER DAY]]/Table1[[#This Row],[WHRS RH]],1))</f>
        <v>0</v>
      </c>
      <c r="Z204" s="8"/>
      <c r="AA204" s="1"/>
      <c r="AB204" s="1"/>
      <c r="AC204" s="1"/>
      <c r="AD204" s="1"/>
      <c r="AE204" s="1"/>
      <c r="AF204" s="1" t="str">
        <f t="shared" si="11"/>
        <v/>
      </c>
      <c r="AG204" s="1" t="str">
        <f t="shared" si="12"/>
        <v/>
      </c>
      <c r="AH204" s="1" t="str">
        <f t="shared" si="13"/>
        <v/>
      </c>
      <c r="AI204" s="1" t="str">
        <f>IF(AH204="", "", SUM($AH$4:AH204))</f>
        <v/>
      </c>
      <c r="AJ204" s="9"/>
    </row>
    <row r="205" spans="1:36">
      <c r="A205" s="7"/>
      <c r="W205" s="1" t="str">
        <f>IF(Table1[[#This Row],[WHRS NET KW TOTAL]]="","", Table1[[#This Row],[WHRS NET KW TOTAL]]-U204)</f>
        <v/>
      </c>
      <c r="X205" s="6">
        <f>Table1[[#This Row],[WHRS  KW TOTAL]]-V204</f>
        <v>0</v>
      </c>
      <c r="Y205" s="6" t="b">
        <f>IF(AND(Table1[[#This Row],[WHRS KW RECOVERED PER DAY]]&lt;&gt;0,Table1[[#This Row],[WHRS RH]]&lt;&gt;0),ROUND(Table1[[#This Row],[WHRS KW RECOVERED PER DAY]]/Table1[[#This Row],[WHRS RH]],1))</f>
        <v>0</v>
      </c>
      <c r="Z205" s="8"/>
      <c r="AA205" s="1"/>
      <c r="AB205" s="1"/>
      <c r="AC205" s="1"/>
      <c r="AD205" s="1"/>
      <c r="AE205" s="1"/>
      <c r="AF205" s="1" t="str">
        <f t="shared" si="11"/>
        <v/>
      </c>
      <c r="AG205" s="1" t="str">
        <f t="shared" si="12"/>
        <v/>
      </c>
      <c r="AH205" s="1" t="str">
        <f t="shared" si="13"/>
        <v/>
      </c>
      <c r="AI205" s="1" t="str">
        <f>IF(AH205="", "", SUM($AH$4:AH205))</f>
        <v/>
      </c>
      <c r="AJ205" s="9"/>
    </row>
    <row r="206" spans="1:36">
      <c r="A206" s="7"/>
      <c r="W206" s="1" t="str">
        <f>IF(Table1[[#This Row],[WHRS NET KW TOTAL]]="","", Table1[[#This Row],[WHRS NET KW TOTAL]]-U205)</f>
        <v/>
      </c>
      <c r="X206" s="6">
        <f>Table1[[#This Row],[WHRS  KW TOTAL]]-V205</f>
        <v>0</v>
      </c>
      <c r="Y206" s="6" t="b">
        <f>IF(AND(Table1[[#This Row],[WHRS KW RECOVERED PER DAY]]&lt;&gt;0,Table1[[#This Row],[WHRS RH]]&lt;&gt;0),ROUND(Table1[[#This Row],[WHRS KW RECOVERED PER DAY]]/Table1[[#This Row],[WHRS RH]],1))</f>
        <v>0</v>
      </c>
      <c r="Z206" s="8"/>
      <c r="AA206" s="1"/>
      <c r="AB206" s="1"/>
      <c r="AC206" s="1"/>
      <c r="AD206" s="1"/>
      <c r="AE206" s="1"/>
      <c r="AF206" s="1" t="str">
        <f t="shared" si="11"/>
        <v/>
      </c>
      <c r="AG206" s="1" t="str">
        <f t="shared" si="12"/>
        <v/>
      </c>
      <c r="AH206" s="1" t="str">
        <f t="shared" si="13"/>
        <v/>
      </c>
      <c r="AI206" s="1" t="str">
        <f>IF(AH206="", "", SUM($AH$4:AH206))</f>
        <v/>
      </c>
      <c r="AJ206" s="9"/>
    </row>
    <row r="207" spans="1:36">
      <c r="A207" s="7"/>
      <c r="W207" s="1" t="str">
        <f>IF(Table1[[#This Row],[WHRS NET KW TOTAL]]="","", Table1[[#This Row],[WHRS NET KW TOTAL]]-U206)</f>
        <v/>
      </c>
      <c r="X207" s="6">
        <f>Table1[[#This Row],[WHRS  KW TOTAL]]-V206</f>
        <v>0</v>
      </c>
      <c r="Y207" s="6" t="b">
        <f>IF(AND(Table1[[#This Row],[WHRS KW RECOVERED PER DAY]]&lt;&gt;0,Table1[[#This Row],[WHRS RH]]&lt;&gt;0),ROUND(Table1[[#This Row],[WHRS KW RECOVERED PER DAY]]/Table1[[#This Row],[WHRS RH]],1))</f>
        <v>0</v>
      </c>
      <c r="Z207" s="8"/>
      <c r="AA207" s="1"/>
      <c r="AB207" s="1"/>
      <c r="AC207" s="1"/>
      <c r="AD207" s="1"/>
      <c r="AE207" s="1"/>
      <c r="AF207" s="1" t="str">
        <f t="shared" si="11"/>
        <v/>
      </c>
      <c r="AG207" s="1" t="str">
        <f t="shared" si="12"/>
        <v/>
      </c>
      <c r="AH207" s="1" t="str">
        <f t="shared" si="13"/>
        <v/>
      </c>
      <c r="AI207" s="1" t="str">
        <f>IF(AH207="", "", SUM($AH$4:AH207))</f>
        <v/>
      </c>
      <c r="AJ207" s="9"/>
    </row>
    <row r="208" spans="1:36">
      <c r="A208" s="7"/>
      <c r="W208" s="1" t="str">
        <f>IF(Table1[[#This Row],[WHRS NET KW TOTAL]]="","", Table1[[#This Row],[WHRS NET KW TOTAL]]-U207)</f>
        <v/>
      </c>
      <c r="X208" s="6">
        <f>Table1[[#This Row],[WHRS  KW TOTAL]]-V207</f>
        <v>0</v>
      </c>
      <c r="Y208" s="6" t="b">
        <f>IF(AND(Table1[[#This Row],[WHRS KW RECOVERED PER DAY]]&lt;&gt;0,Table1[[#This Row],[WHRS RH]]&lt;&gt;0),ROUND(Table1[[#This Row],[WHRS KW RECOVERED PER DAY]]/Table1[[#This Row],[WHRS RH]],1))</f>
        <v>0</v>
      </c>
      <c r="Z208" s="8"/>
      <c r="AA208" s="1"/>
      <c r="AB208" s="1"/>
      <c r="AC208" s="1"/>
      <c r="AD208" s="1"/>
      <c r="AE208" s="1"/>
      <c r="AF208" s="1" t="str">
        <f t="shared" si="11"/>
        <v/>
      </c>
      <c r="AG208" s="1" t="str">
        <f t="shared" si="12"/>
        <v/>
      </c>
      <c r="AH208" s="1" t="str">
        <f t="shared" si="13"/>
        <v/>
      </c>
      <c r="AI208" s="1" t="str">
        <f>IF(AH208="", "", SUM($AH$4:AH208))</f>
        <v/>
      </c>
      <c r="AJ208" s="9"/>
    </row>
    <row r="209" spans="1:36">
      <c r="A209" s="7"/>
      <c r="W209" s="1" t="str">
        <f>IF(Table1[[#This Row],[WHRS NET KW TOTAL]]="","", Table1[[#This Row],[WHRS NET KW TOTAL]]-U208)</f>
        <v/>
      </c>
      <c r="X209" s="6">
        <f>Table1[[#This Row],[WHRS  KW TOTAL]]-V208</f>
        <v>0</v>
      </c>
      <c r="Y209" s="6" t="b">
        <f>IF(AND(Table1[[#This Row],[WHRS KW RECOVERED PER DAY]]&lt;&gt;0,Table1[[#This Row],[WHRS RH]]&lt;&gt;0),ROUND(Table1[[#This Row],[WHRS KW RECOVERED PER DAY]]/Table1[[#This Row],[WHRS RH]],1))</f>
        <v>0</v>
      </c>
      <c r="Z209" s="8"/>
      <c r="AA209" s="1"/>
      <c r="AB209" s="1"/>
      <c r="AC209" s="1"/>
      <c r="AD209" s="1"/>
      <c r="AE209" s="1"/>
      <c r="AF209" s="1" t="str">
        <f t="shared" si="11"/>
        <v/>
      </c>
      <c r="AG209" s="1" t="str">
        <f t="shared" si="12"/>
        <v/>
      </c>
      <c r="AH209" s="1" t="str">
        <f t="shared" si="13"/>
        <v/>
      </c>
      <c r="AI209" s="1" t="str">
        <f>IF(AH209="", "", SUM($AH$4:AH209))</f>
        <v/>
      </c>
      <c r="AJ209" s="9"/>
    </row>
    <row r="210" spans="1:36">
      <c r="A210" s="7"/>
      <c r="W210" s="1" t="str">
        <f>IF(Table1[[#This Row],[WHRS NET KW TOTAL]]="","", Table1[[#This Row],[WHRS NET KW TOTAL]]-U209)</f>
        <v/>
      </c>
      <c r="X210" s="6">
        <f>Table1[[#This Row],[WHRS  KW TOTAL]]-V209</f>
        <v>0</v>
      </c>
      <c r="Y210" s="6" t="b">
        <f>IF(AND(Table1[[#This Row],[WHRS KW RECOVERED PER DAY]]&lt;&gt;0,Table1[[#This Row],[WHRS RH]]&lt;&gt;0),ROUND(Table1[[#This Row],[WHRS KW RECOVERED PER DAY]]/Table1[[#This Row],[WHRS RH]],1))</f>
        <v>0</v>
      </c>
      <c r="Z210" s="8"/>
      <c r="AA210" s="1"/>
      <c r="AB210" s="1"/>
      <c r="AC210" s="1"/>
      <c r="AD210" s="1"/>
      <c r="AE210" s="1"/>
      <c r="AF210" s="1" t="str">
        <f t="shared" si="11"/>
        <v/>
      </c>
      <c r="AG210" s="1" t="str">
        <f t="shared" si="12"/>
        <v/>
      </c>
      <c r="AH210" s="1" t="str">
        <f t="shared" si="13"/>
        <v/>
      </c>
      <c r="AI210" s="1" t="str">
        <f>IF(AH210="", "", SUM($AH$4:AH210))</f>
        <v/>
      </c>
      <c r="AJ210" s="9"/>
    </row>
    <row r="211" spans="1:36">
      <c r="A211" s="7"/>
      <c r="W211" s="1" t="str">
        <f>IF(Table1[[#This Row],[WHRS NET KW TOTAL]]="","", Table1[[#This Row],[WHRS NET KW TOTAL]]-U210)</f>
        <v/>
      </c>
      <c r="X211" s="6">
        <f>Table1[[#This Row],[WHRS  KW TOTAL]]-V210</f>
        <v>0</v>
      </c>
      <c r="Y211" s="6" t="b">
        <f>IF(AND(Table1[[#This Row],[WHRS KW RECOVERED PER DAY]]&lt;&gt;0,Table1[[#This Row],[WHRS RH]]&lt;&gt;0),ROUND(Table1[[#This Row],[WHRS KW RECOVERED PER DAY]]/Table1[[#This Row],[WHRS RH]],1))</f>
        <v>0</v>
      </c>
      <c r="Z211" s="8"/>
      <c r="AA211" s="1"/>
      <c r="AB211" s="1"/>
      <c r="AC211" s="1"/>
      <c r="AD211" s="1"/>
      <c r="AE211" s="1"/>
      <c r="AF211" s="1" t="str">
        <f t="shared" si="11"/>
        <v/>
      </c>
      <c r="AG211" s="1" t="str">
        <f t="shared" si="12"/>
        <v/>
      </c>
      <c r="AH211" s="1" t="str">
        <f t="shared" si="13"/>
        <v/>
      </c>
      <c r="AI211" s="1" t="str">
        <f>IF(AH211="", "", SUM($AH$4:AH211))</f>
        <v/>
      </c>
      <c r="AJ211" s="9"/>
    </row>
    <row r="212" spans="1:36">
      <c r="A212" s="7"/>
      <c r="W212" s="1" t="str">
        <f>IF(Table1[[#This Row],[WHRS NET KW TOTAL]]="","", Table1[[#This Row],[WHRS NET KW TOTAL]]-U211)</f>
        <v/>
      </c>
      <c r="X212" s="6">
        <f>Table1[[#This Row],[WHRS  KW TOTAL]]-V211</f>
        <v>0</v>
      </c>
      <c r="Y212" s="6" t="b">
        <f>IF(AND(Table1[[#This Row],[WHRS KW RECOVERED PER DAY]]&lt;&gt;0,Table1[[#This Row],[WHRS RH]]&lt;&gt;0),ROUND(Table1[[#This Row],[WHRS KW RECOVERED PER DAY]]/Table1[[#This Row],[WHRS RH]],1))</f>
        <v>0</v>
      </c>
      <c r="Z212" s="8"/>
      <c r="AA212" s="1"/>
      <c r="AB212" s="1"/>
      <c r="AC212" s="1"/>
      <c r="AD212" s="1"/>
      <c r="AE212" s="1"/>
      <c r="AF212" s="1" t="str">
        <f t="shared" si="11"/>
        <v/>
      </c>
      <c r="AG212" s="1" t="str">
        <f t="shared" si="12"/>
        <v/>
      </c>
      <c r="AH212" s="1" t="str">
        <f t="shared" si="13"/>
        <v/>
      </c>
      <c r="AI212" s="1" t="str">
        <f>IF(AH212="", "", SUM($AH$4:AH212))</f>
        <v/>
      </c>
      <c r="AJ212" s="9"/>
    </row>
    <row r="213" spans="1:36">
      <c r="A213" s="7"/>
      <c r="W213" s="1" t="str">
        <f>IF(Table1[[#This Row],[WHRS NET KW TOTAL]]="","", Table1[[#This Row],[WHRS NET KW TOTAL]]-U212)</f>
        <v/>
      </c>
      <c r="X213" s="6">
        <f>Table1[[#This Row],[WHRS  KW TOTAL]]-V212</f>
        <v>0</v>
      </c>
      <c r="Y213" s="6" t="b">
        <f>IF(AND(Table1[[#This Row],[WHRS KW RECOVERED PER DAY]]&lt;&gt;0,Table1[[#This Row],[WHRS RH]]&lt;&gt;0),ROUND(Table1[[#This Row],[WHRS KW RECOVERED PER DAY]]/Table1[[#This Row],[WHRS RH]],1))</f>
        <v>0</v>
      </c>
      <c r="Z213" s="8"/>
      <c r="AA213" s="1"/>
      <c r="AB213" s="1"/>
      <c r="AC213" s="1"/>
      <c r="AD213" s="1"/>
      <c r="AE213" s="1"/>
      <c r="AF213" s="1" t="str">
        <f t="shared" si="11"/>
        <v/>
      </c>
      <c r="AG213" s="1" t="str">
        <f t="shared" si="12"/>
        <v/>
      </c>
      <c r="AH213" s="1" t="str">
        <f t="shared" si="13"/>
        <v/>
      </c>
      <c r="AI213" s="1" t="str">
        <f>IF(AH213="", "", SUM($AH$4:AH213))</f>
        <v/>
      </c>
      <c r="AJ213" s="9"/>
    </row>
    <row r="214" spans="1:36">
      <c r="A214" s="7"/>
      <c r="W214" s="1" t="str">
        <f>IF(Table1[[#This Row],[WHRS NET KW TOTAL]]="","", Table1[[#This Row],[WHRS NET KW TOTAL]]-U213)</f>
        <v/>
      </c>
      <c r="X214" s="6">
        <f>Table1[[#This Row],[WHRS  KW TOTAL]]-V213</f>
        <v>0</v>
      </c>
      <c r="Y214" s="6" t="b">
        <f>IF(AND(Table1[[#This Row],[WHRS KW RECOVERED PER DAY]]&lt;&gt;0,Table1[[#This Row],[WHRS RH]]&lt;&gt;0),ROUND(Table1[[#This Row],[WHRS KW RECOVERED PER DAY]]/Table1[[#This Row],[WHRS RH]],1))</f>
        <v>0</v>
      </c>
      <c r="Z214" s="8"/>
      <c r="AA214" s="1"/>
      <c r="AB214" s="1"/>
      <c r="AC214" s="1"/>
      <c r="AD214" s="1"/>
      <c r="AE214" s="1"/>
      <c r="AF214" s="1" t="str">
        <f t="shared" si="11"/>
        <v/>
      </c>
      <c r="AG214" s="1" t="str">
        <f t="shared" si="12"/>
        <v/>
      </c>
      <c r="AH214" s="1" t="str">
        <f t="shared" si="13"/>
        <v/>
      </c>
      <c r="AI214" s="1" t="str">
        <f>IF(AH214="", "", SUM($AH$4:AH214))</f>
        <v/>
      </c>
      <c r="AJ214" s="9"/>
    </row>
    <row r="215" spans="1:36">
      <c r="A215" s="7"/>
      <c r="W215" s="1" t="str">
        <f>IF(Table1[[#This Row],[WHRS NET KW TOTAL]]="","", Table1[[#This Row],[WHRS NET KW TOTAL]]-U214)</f>
        <v/>
      </c>
      <c r="X215" s="6">
        <f>Table1[[#This Row],[WHRS  KW TOTAL]]-V214</f>
        <v>0</v>
      </c>
      <c r="Y215" s="6" t="b">
        <f>IF(AND(Table1[[#This Row],[WHRS KW RECOVERED PER DAY]]&lt;&gt;0,Table1[[#This Row],[WHRS RH]]&lt;&gt;0),ROUND(Table1[[#This Row],[WHRS KW RECOVERED PER DAY]]/Table1[[#This Row],[WHRS RH]],1))</f>
        <v>0</v>
      </c>
      <c r="Z215" s="8"/>
      <c r="AA215" s="1"/>
      <c r="AB215" s="1"/>
      <c r="AC215" s="1"/>
      <c r="AD215" s="1"/>
      <c r="AE215" s="1"/>
      <c r="AF215" s="1" t="str">
        <f t="shared" si="11"/>
        <v/>
      </c>
      <c r="AG215" s="1" t="str">
        <f t="shared" si="12"/>
        <v/>
      </c>
      <c r="AH215" s="1" t="str">
        <f t="shared" si="13"/>
        <v/>
      </c>
      <c r="AI215" s="1" t="str">
        <f>IF(AH215="", "", SUM($AH$4:AH215))</f>
        <v/>
      </c>
      <c r="AJ215" s="9"/>
    </row>
    <row r="216" spans="1:36">
      <c r="A216" s="7"/>
      <c r="W216" s="1" t="str">
        <f>IF(Table1[[#This Row],[WHRS NET KW TOTAL]]="","", Table1[[#This Row],[WHRS NET KW TOTAL]]-U215)</f>
        <v/>
      </c>
      <c r="X216" s="6">
        <f>Table1[[#This Row],[WHRS  KW TOTAL]]-V215</f>
        <v>0</v>
      </c>
      <c r="Y216" s="6" t="b">
        <f>IF(AND(Table1[[#This Row],[WHRS KW RECOVERED PER DAY]]&lt;&gt;0,Table1[[#This Row],[WHRS RH]]&lt;&gt;0),ROUND(Table1[[#This Row],[WHRS KW RECOVERED PER DAY]]/Table1[[#This Row],[WHRS RH]],1))</f>
        <v>0</v>
      </c>
      <c r="Z216" s="8"/>
      <c r="AA216" s="1"/>
      <c r="AB216" s="1"/>
      <c r="AC216" s="1"/>
      <c r="AD216" s="1"/>
      <c r="AE216" s="1"/>
      <c r="AF216" s="1" t="str">
        <f t="shared" si="11"/>
        <v/>
      </c>
      <c r="AG216" s="1" t="str">
        <f t="shared" si="12"/>
        <v/>
      </c>
      <c r="AH216" s="1" t="str">
        <f t="shared" si="13"/>
        <v/>
      </c>
      <c r="AI216" s="1" t="str">
        <f>IF(AH216="", "", SUM($AH$4:AH216))</f>
        <v/>
      </c>
      <c r="AJ216" s="9"/>
    </row>
    <row r="217" spans="1:36">
      <c r="A217" s="7"/>
      <c r="W217" s="1" t="str">
        <f>IF(Table1[[#This Row],[WHRS NET KW TOTAL]]="","", Table1[[#This Row],[WHRS NET KW TOTAL]]-U216)</f>
        <v/>
      </c>
      <c r="X217" s="6">
        <f>Table1[[#This Row],[WHRS  KW TOTAL]]-V216</f>
        <v>0</v>
      </c>
      <c r="Y217" s="6" t="b">
        <f>IF(AND(Table1[[#This Row],[WHRS KW RECOVERED PER DAY]]&lt;&gt;0,Table1[[#This Row],[WHRS RH]]&lt;&gt;0),ROUND(Table1[[#This Row],[WHRS KW RECOVERED PER DAY]]/Table1[[#This Row],[WHRS RH]],1))</f>
        <v>0</v>
      </c>
      <c r="Z217" s="8"/>
      <c r="AA217" s="1"/>
      <c r="AB217" s="1"/>
      <c r="AC217" s="1"/>
      <c r="AD217" s="1"/>
      <c r="AE217" s="1"/>
      <c r="AF217" s="1" t="str">
        <f t="shared" si="11"/>
        <v/>
      </c>
      <c r="AG217" s="1" t="str">
        <f t="shared" si="12"/>
        <v/>
      </c>
      <c r="AH217" s="1" t="str">
        <f t="shared" si="13"/>
        <v/>
      </c>
      <c r="AI217" s="1" t="str">
        <f>IF(AH217="", "", SUM($AH$4:AH217))</f>
        <v/>
      </c>
      <c r="AJ217" s="9"/>
    </row>
    <row r="218" spans="1:36">
      <c r="A218" s="7"/>
      <c r="W218" s="1" t="str">
        <f>IF(Table1[[#This Row],[WHRS NET KW TOTAL]]="","", Table1[[#This Row],[WHRS NET KW TOTAL]]-U217)</f>
        <v/>
      </c>
      <c r="X218" s="6">
        <f>Table1[[#This Row],[WHRS  KW TOTAL]]-V217</f>
        <v>0</v>
      </c>
      <c r="Y218" s="6" t="b">
        <f>IF(AND(Table1[[#This Row],[WHRS KW RECOVERED PER DAY]]&lt;&gt;0,Table1[[#This Row],[WHRS RH]]&lt;&gt;0),ROUND(Table1[[#This Row],[WHRS KW RECOVERED PER DAY]]/Table1[[#This Row],[WHRS RH]],1))</f>
        <v>0</v>
      </c>
      <c r="Z218" s="8"/>
      <c r="AA218" s="1"/>
      <c r="AB218" s="1"/>
      <c r="AC218" s="1"/>
      <c r="AD218" s="1"/>
      <c r="AE218" s="1"/>
      <c r="AF218" s="1" t="str">
        <f t="shared" si="11"/>
        <v/>
      </c>
      <c r="AG218" s="1" t="str">
        <f t="shared" si="12"/>
        <v/>
      </c>
      <c r="AH218" s="1" t="str">
        <f t="shared" si="13"/>
        <v/>
      </c>
      <c r="AI218" s="1" t="str">
        <f>IF(AH218="", "", SUM($AH$4:AH218))</f>
        <v/>
      </c>
      <c r="AJ218" s="9"/>
    </row>
    <row r="219" spans="1:36">
      <c r="A219" s="7"/>
      <c r="W219" s="1" t="str">
        <f>IF(Table1[[#This Row],[WHRS NET KW TOTAL]]="","", Table1[[#This Row],[WHRS NET KW TOTAL]]-U218)</f>
        <v/>
      </c>
      <c r="X219" s="6">
        <f>Table1[[#This Row],[WHRS  KW TOTAL]]-V218</f>
        <v>0</v>
      </c>
      <c r="Y219" s="6" t="b">
        <f>IF(AND(Table1[[#This Row],[WHRS KW RECOVERED PER DAY]]&lt;&gt;0,Table1[[#This Row],[WHRS RH]]&lt;&gt;0),ROUND(Table1[[#This Row],[WHRS KW RECOVERED PER DAY]]/Table1[[#This Row],[WHRS RH]],1))</f>
        <v>0</v>
      </c>
      <c r="Z219" s="8"/>
      <c r="AA219" s="1"/>
      <c r="AB219" s="1"/>
      <c r="AC219" s="1"/>
      <c r="AD219" s="1"/>
      <c r="AE219" s="1"/>
      <c r="AF219" s="1" t="str">
        <f t="shared" si="11"/>
        <v/>
      </c>
      <c r="AG219" s="1" t="str">
        <f t="shared" si="12"/>
        <v/>
      </c>
      <c r="AH219" s="1" t="str">
        <f t="shared" si="13"/>
        <v/>
      </c>
      <c r="AI219" s="1" t="str">
        <f>IF(AH219="", "", SUM($AH$4:AH219))</f>
        <v/>
      </c>
      <c r="AJ219" s="9"/>
    </row>
    <row r="220" spans="1:36">
      <c r="A220" s="7"/>
      <c r="W220" s="1" t="str">
        <f>IF(Table1[[#This Row],[WHRS NET KW TOTAL]]="","", Table1[[#This Row],[WHRS NET KW TOTAL]]-U219)</f>
        <v/>
      </c>
      <c r="X220" s="6">
        <f>Table1[[#This Row],[WHRS  KW TOTAL]]-V219</f>
        <v>0</v>
      </c>
      <c r="Y220" s="6" t="b">
        <f>IF(AND(Table1[[#This Row],[WHRS KW RECOVERED PER DAY]]&lt;&gt;0,Table1[[#This Row],[WHRS RH]]&lt;&gt;0),ROUND(Table1[[#This Row],[WHRS KW RECOVERED PER DAY]]/Table1[[#This Row],[WHRS RH]],1))</f>
        <v>0</v>
      </c>
      <c r="Z220" s="8"/>
      <c r="AA220" s="1"/>
      <c r="AB220" s="1"/>
      <c r="AC220" s="1"/>
      <c r="AD220" s="1"/>
      <c r="AE220" s="1"/>
      <c r="AF220" s="1" t="str">
        <f t="shared" si="11"/>
        <v/>
      </c>
      <c r="AG220" s="1" t="str">
        <f t="shared" si="12"/>
        <v/>
      </c>
      <c r="AH220" s="1" t="str">
        <f t="shared" si="13"/>
        <v/>
      </c>
      <c r="AI220" s="1" t="str">
        <f>IF(AH220="", "", SUM($AH$4:AH220))</f>
        <v/>
      </c>
      <c r="AJ220" s="9"/>
    </row>
    <row r="221" spans="1:36">
      <c r="A221" s="7"/>
      <c r="W221" s="1" t="str">
        <f>IF(Table1[[#This Row],[WHRS NET KW TOTAL]]="","", Table1[[#This Row],[WHRS NET KW TOTAL]]-U220)</f>
        <v/>
      </c>
      <c r="X221" s="6">
        <f>Table1[[#This Row],[WHRS  KW TOTAL]]-V220</f>
        <v>0</v>
      </c>
      <c r="Y221" s="6" t="b">
        <f>IF(AND(Table1[[#This Row],[WHRS KW RECOVERED PER DAY]]&lt;&gt;0,Table1[[#This Row],[WHRS RH]]&lt;&gt;0),ROUND(Table1[[#This Row],[WHRS KW RECOVERED PER DAY]]/Table1[[#This Row],[WHRS RH]],1))</f>
        <v>0</v>
      </c>
      <c r="Z221" s="8"/>
      <c r="AA221" s="1"/>
      <c r="AB221" s="1"/>
      <c r="AC221" s="1"/>
      <c r="AD221" s="1"/>
      <c r="AE221" s="1"/>
      <c r="AF221" s="1" t="str">
        <f t="shared" si="11"/>
        <v/>
      </c>
      <c r="AG221" s="1" t="str">
        <f t="shared" si="12"/>
        <v/>
      </c>
      <c r="AH221" s="1" t="str">
        <f t="shared" si="13"/>
        <v/>
      </c>
      <c r="AI221" s="1" t="str">
        <f>IF(AH221="", "", SUM($AH$4:AH221))</f>
        <v/>
      </c>
      <c r="AJ221" s="9"/>
    </row>
    <row r="222" spans="1:36">
      <c r="A222" s="7"/>
      <c r="W222" s="1" t="str">
        <f>IF(Table1[[#This Row],[WHRS NET KW TOTAL]]="","", Table1[[#This Row],[WHRS NET KW TOTAL]]-U221)</f>
        <v/>
      </c>
      <c r="X222" s="6">
        <f>Table1[[#This Row],[WHRS  KW TOTAL]]-V221</f>
        <v>0</v>
      </c>
      <c r="Y222" s="6" t="b">
        <f>IF(AND(Table1[[#This Row],[WHRS KW RECOVERED PER DAY]]&lt;&gt;0,Table1[[#This Row],[WHRS RH]]&lt;&gt;0),ROUND(Table1[[#This Row],[WHRS KW RECOVERED PER DAY]]/Table1[[#This Row],[WHRS RH]],1))</f>
        <v>0</v>
      </c>
      <c r="Z222" s="8"/>
      <c r="AA222" s="1"/>
      <c r="AB222" s="1"/>
      <c r="AC222" s="1"/>
      <c r="AD222" s="1"/>
      <c r="AE222" s="1"/>
      <c r="AF222" s="1" t="str">
        <f t="shared" si="11"/>
        <v/>
      </c>
      <c r="AG222" s="1" t="str">
        <f t="shared" si="12"/>
        <v/>
      </c>
      <c r="AH222" s="1" t="str">
        <f t="shared" si="13"/>
        <v/>
      </c>
      <c r="AI222" s="1" t="str">
        <f>IF(AH222="", "", SUM($AH$4:AH222))</f>
        <v/>
      </c>
      <c r="AJ222" s="9"/>
    </row>
    <row r="223" spans="1:36">
      <c r="A223" s="7"/>
      <c r="W223" s="1" t="str">
        <f>IF(Table1[[#This Row],[WHRS NET KW TOTAL]]="","", Table1[[#This Row],[WHRS NET KW TOTAL]]-U222)</f>
        <v/>
      </c>
      <c r="X223" s="6">
        <f>Table1[[#This Row],[WHRS  KW TOTAL]]-V222</f>
        <v>0</v>
      </c>
      <c r="Y223" s="6" t="b">
        <f>IF(AND(Table1[[#This Row],[WHRS KW RECOVERED PER DAY]]&lt;&gt;0,Table1[[#This Row],[WHRS RH]]&lt;&gt;0),ROUND(Table1[[#This Row],[WHRS KW RECOVERED PER DAY]]/Table1[[#This Row],[WHRS RH]],1))</f>
        <v>0</v>
      </c>
      <c r="Z223" s="8"/>
      <c r="AA223" s="1"/>
      <c r="AB223" s="1"/>
      <c r="AC223" s="1"/>
      <c r="AD223" s="1"/>
      <c r="AE223" s="1"/>
      <c r="AF223" s="1" t="str">
        <f t="shared" si="11"/>
        <v/>
      </c>
      <c r="AG223" s="1" t="str">
        <f t="shared" si="12"/>
        <v/>
      </c>
      <c r="AH223" s="1" t="str">
        <f t="shared" si="13"/>
        <v/>
      </c>
      <c r="AI223" s="1" t="str">
        <f>IF(AH223="", "", SUM($AH$4:AH223))</f>
        <v/>
      </c>
      <c r="AJ223" s="9"/>
    </row>
    <row r="224" spans="1:36">
      <c r="A224" s="7"/>
      <c r="W224" s="1" t="str">
        <f>IF(Table1[[#This Row],[WHRS NET KW TOTAL]]="","", Table1[[#This Row],[WHRS NET KW TOTAL]]-U223)</f>
        <v/>
      </c>
      <c r="X224" s="6">
        <f>Table1[[#This Row],[WHRS  KW TOTAL]]-V223</f>
        <v>0</v>
      </c>
      <c r="Y224" s="6" t="b">
        <f>IF(AND(Table1[[#This Row],[WHRS KW RECOVERED PER DAY]]&lt;&gt;0,Table1[[#This Row],[WHRS RH]]&lt;&gt;0),ROUND(Table1[[#This Row],[WHRS KW RECOVERED PER DAY]]/Table1[[#This Row],[WHRS RH]],1))</f>
        <v>0</v>
      </c>
      <c r="Z224" s="8"/>
      <c r="AA224" s="1"/>
      <c r="AB224" s="1"/>
      <c r="AC224" s="1"/>
      <c r="AD224" s="1"/>
      <c r="AE224" s="1"/>
      <c r="AF224" s="1" t="str">
        <f t="shared" si="11"/>
        <v/>
      </c>
      <c r="AG224" s="1" t="str">
        <f t="shared" si="12"/>
        <v/>
      </c>
      <c r="AH224" s="1" t="str">
        <f t="shared" si="13"/>
        <v/>
      </c>
      <c r="AI224" s="1" t="str">
        <f>IF(AH224="", "", SUM($AH$4:AH224))</f>
        <v/>
      </c>
      <c r="AJ224" s="9"/>
    </row>
    <row r="225" spans="1:36">
      <c r="A225" s="7"/>
      <c r="W225" s="1" t="str">
        <f>IF(Table1[[#This Row],[WHRS NET KW TOTAL]]="","", Table1[[#This Row],[WHRS NET KW TOTAL]]-U224)</f>
        <v/>
      </c>
      <c r="X225" s="6">
        <f>Table1[[#This Row],[WHRS  KW TOTAL]]-V224</f>
        <v>0</v>
      </c>
      <c r="Y225" s="6" t="b">
        <f>IF(AND(Table1[[#This Row],[WHRS KW RECOVERED PER DAY]]&lt;&gt;0,Table1[[#This Row],[WHRS RH]]&lt;&gt;0),ROUND(Table1[[#This Row],[WHRS KW RECOVERED PER DAY]]/Table1[[#This Row],[WHRS RH]],1))</f>
        <v>0</v>
      </c>
      <c r="Z225" s="8"/>
      <c r="AA225" s="1"/>
      <c r="AB225" s="1"/>
      <c r="AC225" s="1"/>
      <c r="AD225" s="1"/>
      <c r="AE225" s="1"/>
      <c r="AF225" s="1" t="str">
        <f t="shared" si="11"/>
        <v/>
      </c>
      <c r="AG225" s="1" t="str">
        <f t="shared" si="12"/>
        <v/>
      </c>
      <c r="AH225" s="1" t="str">
        <f t="shared" si="13"/>
        <v/>
      </c>
      <c r="AI225" s="1" t="str">
        <f>IF(AH225="", "", SUM($AH$4:AH225))</f>
        <v/>
      </c>
      <c r="AJ225" s="9"/>
    </row>
    <row r="226" spans="1:36">
      <c r="A226" s="7"/>
      <c r="W226" s="1" t="str">
        <f>IF(Table1[[#This Row],[WHRS NET KW TOTAL]]="","", Table1[[#This Row],[WHRS NET KW TOTAL]]-U225)</f>
        <v/>
      </c>
      <c r="X226" s="6">
        <f>Table1[[#This Row],[WHRS  KW TOTAL]]-V225</f>
        <v>0</v>
      </c>
      <c r="Y226" s="6" t="b">
        <f>IF(AND(Table1[[#This Row],[WHRS KW RECOVERED PER DAY]]&lt;&gt;0,Table1[[#This Row],[WHRS RH]]&lt;&gt;0),ROUND(Table1[[#This Row],[WHRS KW RECOVERED PER DAY]]/Table1[[#This Row],[WHRS RH]],1))</f>
        <v>0</v>
      </c>
      <c r="Z226" s="8"/>
      <c r="AA226" s="1"/>
      <c r="AB226" s="1"/>
      <c r="AC226" s="1"/>
      <c r="AD226" s="1"/>
      <c r="AE226" s="1"/>
      <c r="AF226" s="1" t="str">
        <f t="shared" si="11"/>
        <v/>
      </c>
      <c r="AG226" s="1" t="str">
        <f t="shared" si="12"/>
        <v/>
      </c>
      <c r="AH226" s="1" t="str">
        <f t="shared" si="13"/>
        <v/>
      </c>
      <c r="AI226" s="1" t="str">
        <f>IF(AH226="", "", SUM($AH$4:AH226))</f>
        <v/>
      </c>
      <c r="AJ226" s="9"/>
    </row>
    <row r="227" spans="1:36">
      <c r="A227" s="7"/>
      <c r="W227" s="1" t="str">
        <f>IF(Table1[[#This Row],[WHRS NET KW TOTAL]]="","", Table1[[#This Row],[WHRS NET KW TOTAL]]-U226)</f>
        <v/>
      </c>
      <c r="X227" s="6">
        <f>Table1[[#This Row],[WHRS  KW TOTAL]]-V226</f>
        <v>0</v>
      </c>
      <c r="Y227" s="6" t="b">
        <f>IF(AND(Table1[[#This Row],[WHRS KW RECOVERED PER DAY]]&lt;&gt;0,Table1[[#This Row],[WHRS RH]]&lt;&gt;0),ROUND(Table1[[#This Row],[WHRS KW RECOVERED PER DAY]]/Table1[[#This Row],[WHRS RH]],1))</f>
        <v>0</v>
      </c>
      <c r="Z227" s="8"/>
      <c r="AA227" s="1"/>
      <c r="AB227" s="1"/>
      <c r="AC227" s="1"/>
      <c r="AD227" s="1"/>
      <c r="AE227" s="1"/>
      <c r="AF227" s="1" t="str">
        <f t="shared" si="11"/>
        <v/>
      </c>
      <c r="AG227" s="1" t="str">
        <f t="shared" si="12"/>
        <v/>
      </c>
      <c r="AH227" s="1" t="str">
        <f t="shared" si="13"/>
        <v/>
      </c>
      <c r="AI227" s="1" t="str">
        <f>IF(AH227="", "", SUM($AH$4:AH227))</f>
        <v/>
      </c>
      <c r="AJ227" s="9"/>
    </row>
    <row r="228" spans="1:36">
      <c r="A228" s="7"/>
      <c r="W228" s="1" t="str">
        <f>IF(Table1[[#This Row],[WHRS NET KW TOTAL]]="","", Table1[[#This Row],[WHRS NET KW TOTAL]]-U227)</f>
        <v/>
      </c>
      <c r="X228" s="6">
        <f>Table1[[#This Row],[WHRS  KW TOTAL]]-V227</f>
        <v>0</v>
      </c>
      <c r="Y228" s="6" t="b">
        <f>IF(AND(Table1[[#This Row],[WHRS KW RECOVERED PER DAY]]&lt;&gt;0,Table1[[#This Row],[WHRS RH]]&lt;&gt;0),ROUND(Table1[[#This Row],[WHRS KW RECOVERED PER DAY]]/Table1[[#This Row],[WHRS RH]],1))</f>
        <v>0</v>
      </c>
      <c r="Z228" s="8"/>
      <c r="AA228" s="1"/>
      <c r="AB228" s="1"/>
      <c r="AC228" s="1"/>
      <c r="AD228" s="1"/>
      <c r="AE228" s="1"/>
      <c r="AF228" s="1" t="str">
        <f t="shared" si="11"/>
        <v/>
      </c>
      <c r="AG228" s="1" t="str">
        <f t="shared" si="12"/>
        <v/>
      </c>
      <c r="AH228" s="1" t="str">
        <f t="shared" si="13"/>
        <v/>
      </c>
      <c r="AI228" s="1" t="str">
        <f>IF(AH228="", "", SUM($AH$4:AH228))</f>
        <v/>
      </c>
      <c r="AJ228" s="9"/>
    </row>
    <row r="229" spans="1:36">
      <c r="A229" s="7"/>
      <c r="W229" s="1" t="str">
        <f>IF(Table1[[#This Row],[WHRS NET KW TOTAL]]="","", Table1[[#This Row],[WHRS NET KW TOTAL]]-U228)</f>
        <v/>
      </c>
      <c r="X229" s="6">
        <f>Table1[[#This Row],[WHRS  KW TOTAL]]-V228</f>
        <v>0</v>
      </c>
      <c r="Y229" s="6" t="b">
        <f>IF(AND(Table1[[#This Row],[WHRS KW RECOVERED PER DAY]]&lt;&gt;0,Table1[[#This Row],[WHRS RH]]&lt;&gt;0),ROUND(Table1[[#This Row],[WHRS KW RECOVERED PER DAY]]/Table1[[#This Row],[WHRS RH]],1))</f>
        <v>0</v>
      </c>
      <c r="Z229" s="8"/>
      <c r="AA229" s="1"/>
      <c r="AB229" s="1"/>
      <c r="AC229" s="1"/>
      <c r="AD229" s="1"/>
      <c r="AE229" s="1"/>
      <c r="AF229" s="1" t="str">
        <f t="shared" si="11"/>
        <v/>
      </c>
      <c r="AG229" s="1" t="str">
        <f t="shared" si="12"/>
        <v/>
      </c>
      <c r="AH229" s="1" t="str">
        <f t="shared" si="13"/>
        <v/>
      </c>
      <c r="AI229" s="1" t="str">
        <f>IF(AH229="", "", SUM($AH$4:AH229))</f>
        <v/>
      </c>
      <c r="AJ229" s="9"/>
    </row>
    <row r="230" spans="1:36">
      <c r="A230" s="7"/>
      <c r="W230" s="1" t="str">
        <f>IF(Table1[[#This Row],[WHRS NET KW TOTAL]]="","", Table1[[#This Row],[WHRS NET KW TOTAL]]-U229)</f>
        <v/>
      </c>
      <c r="X230" s="6">
        <f>Table1[[#This Row],[WHRS  KW TOTAL]]-V229</f>
        <v>0</v>
      </c>
      <c r="Y230" s="6" t="b">
        <f>IF(AND(Table1[[#This Row],[WHRS KW RECOVERED PER DAY]]&lt;&gt;0,Table1[[#This Row],[WHRS RH]]&lt;&gt;0),ROUND(Table1[[#This Row],[WHRS KW RECOVERED PER DAY]]/Table1[[#This Row],[WHRS RH]],1))</f>
        <v>0</v>
      </c>
      <c r="Z230" s="8"/>
      <c r="AA230" s="1"/>
      <c r="AB230" s="1"/>
      <c r="AC230" s="1"/>
      <c r="AD230" s="1"/>
      <c r="AE230" s="1"/>
      <c r="AF230" s="1" t="str">
        <f t="shared" si="11"/>
        <v/>
      </c>
      <c r="AG230" s="1" t="str">
        <f t="shared" si="12"/>
        <v/>
      </c>
      <c r="AH230" s="1" t="str">
        <f t="shared" si="13"/>
        <v/>
      </c>
      <c r="AI230" s="1" t="str">
        <f>IF(AH230="", "", SUM($AH$4:AH230))</f>
        <v/>
      </c>
      <c r="AJ230" s="9"/>
    </row>
    <row r="231" spans="1:36">
      <c r="A231" s="7"/>
      <c r="W231" s="1" t="str">
        <f>IF(Table1[[#This Row],[WHRS NET KW TOTAL]]="","", Table1[[#This Row],[WHRS NET KW TOTAL]]-U230)</f>
        <v/>
      </c>
      <c r="X231" s="6">
        <f>Table1[[#This Row],[WHRS  KW TOTAL]]-V230</f>
        <v>0</v>
      </c>
      <c r="Y231" s="6" t="b">
        <f>IF(AND(Table1[[#This Row],[WHRS KW RECOVERED PER DAY]]&lt;&gt;0,Table1[[#This Row],[WHRS RH]]&lt;&gt;0),ROUND(Table1[[#This Row],[WHRS KW RECOVERED PER DAY]]/Table1[[#This Row],[WHRS RH]],1))</f>
        <v>0</v>
      </c>
      <c r="Z231" s="8"/>
      <c r="AA231" s="1"/>
      <c r="AB231" s="1"/>
      <c r="AC231" s="1"/>
      <c r="AD231" s="1"/>
      <c r="AE231" s="1"/>
      <c r="AF231" s="1" t="str">
        <f t="shared" si="11"/>
        <v/>
      </c>
      <c r="AG231" s="1" t="str">
        <f t="shared" si="12"/>
        <v/>
      </c>
      <c r="AH231" s="1" t="str">
        <f t="shared" si="13"/>
        <v/>
      </c>
      <c r="AI231" s="1" t="str">
        <f>IF(AH231="", "", SUM($AH$4:AH231))</f>
        <v/>
      </c>
      <c r="AJ231" s="9"/>
    </row>
    <row r="232" spans="1:36">
      <c r="A232" s="7"/>
      <c r="W232" s="1" t="str">
        <f>IF(Table1[[#This Row],[WHRS NET KW TOTAL]]="","", Table1[[#This Row],[WHRS NET KW TOTAL]]-U231)</f>
        <v/>
      </c>
      <c r="X232" s="6">
        <f>Table1[[#This Row],[WHRS  KW TOTAL]]-V231</f>
        <v>0</v>
      </c>
      <c r="Y232" s="6" t="b">
        <f>IF(AND(Table1[[#This Row],[WHRS KW RECOVERED PER DAY]]&lt;&gt;0,Table1[[#This Row],[WHRS RH]]&lt;&gt;0),ROUND(Table1[[#This Row],[WHRS KW RECOVERED PER DAY]]/Table1[[#This Row],[WHRS RH]],1))</f>
        <v>0</v>
      </c>
      <c r="Z232" s="8"/>
      <c r="AA232" s="1"/>
      <c r="AB232" s="1"/>
      <c r="AC232" s="1"/>
      <c r="AD232" s="1"/>
      <c r="AE232" s="1"/>
      <c r="AF232" s="1" t="str">
        <f t="shared" si="11"/>
        <v/>
      </c>
      <c r="AG232" s="1" t="str">
        <f t="shared" si="12"/>
        <v/>
      </c>
      <c r="AH232" s="1" t="str">
        <f t="shared" si="13"/>
        <v/>
      </c>
      <c r="AI232" s="1" t="str">
        <f>IF(AH232="", "", SUM($AH$4:AH232))</f>
        <v/>
      </c>
      <c r="AJ232" s="9"/>
    </row>
    <row r="233" spans="1:36">
      <c r="A233" s="7"/>
      <c r="W233" s="1" t="str">
        <f>IF(Table1[[#This Row],[WHRS NET KW TOTAL]]="","", Table1[[#This Row],[WHRS NET KW TOTAL]]-U232)</f>
        <v/>
      </c>
      <c r="X233" s="6">
        <f>Table1[[#This Row],[WHRS  KW TOTAL]]-V232</f>
        <v>0</v>
      </c>
      <c r="Y233" s="6" t="b">
        <f>IF(AND(Table1[[#This Row],[WHRS KW RECOVERED PER DAY]]&lt;&gt;0,Table1[[#This Row],[WHRS RH]]&lt;&gt;0),ROUND(Table1[[#This Row],[WHRS KW RECOVERED PER DAY]]/Table1[[#This Row],[WHRS RH]],1))</f>
        <v>0</v>
      </c>
      <c r="Z233" s="8"/>
      <c r="AA233" s="1"/>
      <c r="AB233" s="1"/>
      <c r="AC233" s="1"/>
      <c r="AD233" s="1"/>
      <c r="AE233" s="1"/>
      <c r="AF233" s="1" t="str">
        <f t="shared" si="11"/>
        <v/>
      </c>
      <c r="AG233" s="1" t="str">
        <f t="shared" si="12"/>
        <v/>
      </c>
      <c r="AH233" s="1" t="str">
        <f t="shared" si="13"/>
        <v/>
      </c>
      <c r="AI233" s="1" t="str">
        <f>IF(AH233="", "", SUM($AH$4:AH233))</f>
        <v/>
      </c>
      <c r="AJ233" s="9"/>
    </row>
    <row r="234" spans="1:36">
      <c r="A234" s="7"/>
      <c r="W234" s="1" t="str">
        <f>IF(Table1[[#This Row],[WHRS NET KW TOTAL]]="","", Table1[[#This Row],[WHRS NET KW TOTAL]]-U233)</f>
        <v/>
      </c>
      <c r="X234" s="6">
        <f>Table1[[#This Row],[WHRS  KW TOTAL]]-V233</f>
        <v>0</v>
      </c>
      <c r="Y234" s="6" t="b">
        <f>IF(AND(Table1[[#This Row],[WHRS KW RECOVERED PER DAY]]&lt;&gt;0,Table1[[#This Row],[WHRS RH]]&lt;&gt;0),ROUND(Table1[[#This Row],[WHRS KW RECOVERED PER DAY]]/Table1[[#This Row],[WHRS RH]],1))</f>
        <v>0</v>
      </c>
      <c r="Z234" s="8"/>
      <c r="AA234" s="1"/>
      <c r="AB234" s="1"/>
      <c r="AC234" s="1"/>
      <c r="AD234" s="1"/>
      <c r="AE234" s="1"/>
      <c r="AF234" s="1" t="str">
        <f t="shared" si="11"/>
        <v/>
      </c>
      <c r="AG234" s="1" t="str">
        <f t="shared" si="12"/>
        <v/>
      </c>
      <c r="AH234" s="1" t="str">
        <f t="shared" si="13"/>
        <v/>
      </c>
      <c r="AI234" s="1" t="str">
        <f>IF(AH234="", "", SUM($AH$4:AH234))</f>
        <v/>
      </c>
      <c r="AJ234" s="9"/>
    </row>
    <row r="235" spans="1:36">
      <c r="A235" s="7"/>
      <c r="W235" s="1" t="str">
        <f>IF(Table1[[#This Row],[WHRS NET KW TOTAL]]="","", Table1[[#This Row],[WHRS NET KW TOTAL]]-U234)</f>
        <v/>
      </c>
      <c r="X235" s="6">
        <f>Table1[[#This Row],[WHRS  KW TOTAL]]-V234</f>
        <v>0</v>
      </c>
      <c r="Y235" s="6" t="b">
        <f>IF(AND(Table1[[#This Row],[WHRS KW RECOVERED PER DAY]]&lt;&gt;0,Table1[[#This Row],[WHRS RH]]&lt;&gt;0),ROUND(Table1[[#This Row],[WHRS KW RECOVERED PER DAY]]/Table1[[#This Row],[WHRS RH]],1))</f>
        <v>0</v>
      </c>
      <c r="Z235" s="8"/>
      <c r="AA235" s="1"/>
      <c r="AB235" s="1"/>
      <c r="AC235" s="1"/>
      <c r="AD235" s="1"/>
      <c r="AE235" s="1"/>
      <c r="AF235" s="1" t="str">
        <f t="shared" si="11"/>
        <v/>
      </c>
      <c r="AG235" s="1" t="str">
        <f t="shared" si="12"/>
        <v/>
      </c>
      <c r="AH235" s="1" t="str">
        <f t="shared" si="13"/>
        <v/>
      </c>
      <c r="AI235" s="1" t="str">
        <f>IF(AH235="", "", SUM($AH$4:AH235))</f>
        <v/>
      </c>
      <c r="AJ235" s="9"/>
    </row>
    <row r="236" spans="1:36">
      <c r="A236" s="7"/>
      <c r="W236" s="1" t="str">
        <f>IF(Table1[[#This Row],[WHRS NET KW TOTAL]]="","", Table1[[#This Row],[WHRS NET KW TOTAL]]-U235)</f>
        <v/>
      </c>
      <c r="X236" s="6">
        <f>Table1[[#This Row],[WHRS  KW TOTAL]]-V235</f>
        <v>0</v>
      </c>
      <c r="Y236" s="6" t="b">
        <f>IF(AND(Table1[[#This Row],[WHRS KW RECOVERED PER DAY]]&lt;&gt;0,Table1[[#This Row],[WHRS RH]]&lt;&gt;0),ROUND(Table1[[#This Row],[WHRS KW RECOVERED PER DAY]]/Table1[[#This Row],[WHRS RH]],1))</f>
        <v>0</v>
      </c>
      <c r="Z236" s="8"/>
      <c r="AA236" s="1"/>
      <c r="AB236" s="1"/>
      <c r="AC236" s="1"/>
      <c r="AD236" s="1"/>
      <c r="AE236" s="1"/>
      <c r="AF236" s="1" t="str">
        <f t="shared" si="11"/>
        <v/>
      </c>
      <c r="AG236" s="1" t="str">
        <f t="shared" si="12"/>
        <v/>
      </c>
      <c r="AH236" s="1" t="str">
        <f t="shared" si="13"/>
        <v/>
      </c>
      <c r="AI236" s="1" t="str">
        <f>IF(AH236="", "", SUM($AH$4:AH236))</f>
        <v/>
      </c>
      <c r="AJ236" s="9"/>
    </row>
    <row r="237" spans="1:36">
      <c r="A237" s="7"/>
      <c r="W237" s="1" t="str">
        <f>IF(Table1[[#This Row],[WHRS NET KW TOTAL]]="","", Table1[[#This Row],[WHRS NET KW TOTAL]]-U236)</f>
        <v/>
      </c>
      <c r="X237" s="6">
        <f>Table1[[#This Row],[WHRS  KW TOTAL]]-V236</f>
        <v>0</v>
      </c>
      <c r="Y237" s="6" t="b">
        <f>IF(AND(Table1[[#This Row],[WHRS KW RECOVERED PER DAY]]&lt;&gt;0,Table1[[#This Row],[WHRS RH]]&lt;&gt;0),ROUND(Table1[[#This Row],[WHRS KW RECOVERED PER DAY]]/Table1[[#This Row],[WHRS RH]],1))</f>
        <v>0</v>
      </c>
      <c r="Z237" s="8"/>
      <c r="AA237" s="1"/>
      <c r="AB237" s="1"/>
      <c r="AC237" s="1"/>
      <c r="AD237" s="1"/>
      <c r="AE237" s="1"/>
      <c r="AF237" s="1" t="str">
        <f t="shared" si="11"/>
        <v/>
      </c>
      <c r="AG237" s="1" t="str">
        <f t="shared" si="12"/>
        <v/>
      </c>
      <c r="AH237" s="1" t="str">
        <f t="shared" si="13"/>
        <v/>
      </c>
      <c r="AI237" s="1" t="str">
        <f>IF(AH237="", "", SUM($AH$4:AH237))</f>
        <v/>
      </c>
      <c r="AJ237" s="9"/>
    </row>
    <row r="238" spans="1:36">
      <c r="A238" s="7"/>
      <c r="W238" s="1" t="str">
        <f>IF(Table1[[#This Row],[WHRS NET KW TOTAL]]="","", Table1[[#This Row],[WHRS NET KW TOTAL]]-U237)</f>
        <v/>
      </c>
      <c r="X238" s="6">
        <f>Table1[[#This Row],[WHRS  KW TOTAL]]-V237</f>
        <v>0</v>
      </c>
      <c r="Y238" s="6" t="b">
        <f>IF(AND(Table1[[#This Row],[WHRS KW RECOVERED PER DAY]]&lt;&gt;0,Table1[[#This Row],[WHRS RH]]&lt;&gt;0),ROUND(Table1[[#This Row],[WHRS KW RECOVERED PER DAY]]/Table1[[#This Row],[WHRS RH]],1))</f>
        <v>0</v>
      </c>
      <c r="Z238" s="8"/>
      <c r="AA238" s="1"/>
      <c r="AB238" s="1"/>
      <c r="AC238" s="1"/>
      <c r="AD238" s="1"/>
      <c r="AE238" s="1"/>
      <c r="AF238" s="1" t="str">
        <f t="shared" si="11"/>
        <v/>
      </c>
      <c r="AG238" s="1" t="str">
        <f t="shared" si="12"/>
        <v/>
      </c>
      <c r="AH238" s="1" t="str">
        <f t="shared" si="13"/>
        <v/>
      </c>
      <c r="AI238" s="1" t="str">
        <f>IF(AH238="", "", SUM($AH$4:AH238))</f>
        <v/>
      </c>
      <c r="AJ238" s="9"/>
    </row>
    <row r="239" spans="1:36">
      <c r="A239" s="7"/>
      <c r="W239" s="1" t="str">
        <f>IF(Table1[[#This Row],[WHRS NET KW TOTAL]]="","", Table1[[#This Row],[WHRS NET KW TOTAL]]-U238)</f>
        <v/>
      </c>
      <c r="X239" s="6">
        <f>Table1[[#This Row],[WHRS  KW TOTAL]]-V238</f>
        <v>0</v>
      </c>
      <c r="Y239" s="6" t="b">
        <f>IF(AND(Table1[[#This Row],[WHRS KW RECOVERED PER DAY]]&lt;&gt;0,Table1[[#This Row],[WHRS RH]]&lt;&gt;0),ROUND(Table1[[#This Row],[WHRS KW RECOVERED PER DAY]]/Table1[[#This Row],[WHRS RH]],1))</f>
        <v>0</v>
      </c>
      <c r="Z239" s="8"/>
      <c r="AA239" s="1"/>
      <c r="AB239" s="1"/>
      <c r="AC239" s="1"/>
      <c r="AD239" s="1"/>
      <c r="AE239" s="1"/>
      <c r="AF239" s="1" t="str">
        <f t="shared" si="11"/>
        <v/>
      </c>
      <c r="AG239" s="1" t="str">
        <f t="shared" si="12"/>
        <v/>
      </c>
      <c r="AH239" s="1" t="str">
        <f t="shared" si="13"/>
        <v/>
      </c>
      <c r="AI239" s="1" t="str">
        <f>IF(AH239="", "", SUM($AH$4:AH239))</f>
        <v/>
      </c>
      <c r="AJ239" s="9"/>
    </row>
    <row r="240" spans="1:36">
      <c r="A240" s="7"/>
      <c r="W240" s="1" t="str">
        <f>IF(Table1[[#This Row],[WHRS NET KW TOTAL]]="","", Table1[[#This Row],[WHRS NET KW TOTAL]]-U239)</f>
        <v/>
      </c>
      <c r="X240" s="6">
        <f>Table1[[#This Row],[WHRS  KW TOTAL]]-V239</f>
        <v>0</v>
      </c>
      <c r="Y240" s="6" t="b">
        <f>IF(AND(Table1[[#This Row],[WHRS KW RECOVERED PER DAY]]&lt;&gt;0,Table1[[#This Row],[WHRS RH]]&lt;&gt;0),ROUND(Table1[[#This Row],[WHRS KW RECOVERED PER DAY]]/Table1[[#This Row],[WHRS RH]],1))</f>
        <v>0</v>
      </c>
      <c r="Z240" s="8"/>
      <c r="AA240" s="1"/>
      <c r="AB240" s="1"/>
      <c r="AC240" s="1"/>
      <c r="AD240" s="1"/>
      <c r="AE240" s="1"/>
      <c r="AF240" s="1" t="str">
        <f t="shared" si="11"/>
        <v/>
      </c>
      <c r="AG240" s="1" t="str">
        <f t="shared" si="12"/>
        <v/>
      </c>
      <c r="AH240" s="1" t="str">
        <f t="shared" si="13"/>
        <v/>
      </c>
      <c r="AI240" s="1" t="str">
        <f>IF(AH240="", "", SUM($AH$4:AH240))</f>
        <v/>
      </c>
      <c r="AJ240" s="9"/>
    </row>
    <row r="241" spans="1:36">
      <c r="A241" s="7"/>
      <c r="W241" s="1" t="str">
        <f>IF(Table1[[#This Row],[WHRS NET KW TOTAL]]="","", Table1[[#This Row],[WHRS NET KW TOTAL]]-U240)</f>
        <v/>
      </c>
      <c r="X241" s="6">
        <f>Table1[[#This Row],[WHRS  KW TOTAL]]-V240</f>
        <v>0</v>
      </c>
      <c r="Y241" s="6" t="b">
        <f>IF(AND(Table1[[#This Row],[WHRS KW RECOVERED PER DAY]]&lt;&gt;0,Table1[[#This Row],[WHRS RH]]&lt;&gt;0),ROUND(Table1[[#This Row],[WHRS KW RECOVERED PER DAY]]/Table1[[#This Row],[WHRS RH]],1))</f>
        <v>0</v>
      </c>
      <c r="Z241" s="8"/>
      <c r="AA241" s="1"/>
      <c r="AB241" s="1"/>
      <c r="AC241" s="1"/>
      <c r="AD241" s="1"/>
      <c r="AE241" s="1"/>
      <c r="AF241" s="1" t="str">
        <f t="shared" si="11"/>
        <v/>
      </c>
      <c r="AG241" s="1" t="str">
        <f t="shared" si="12"/>
        <v/>
      </c>
      <c r="AH241" s="1" t="str">
        <f t="shared" si="13"/>
        <v/>
      </c>
      <c r="AI241" s="1" t="str">
        <f>IF(AH241="", "", SUM($AH$4:AH241))</f>
        <v/>
      </c>
      <c r="AJ241" s="9"/>
    </row>
    <row r="242" spans="1:36">
      <c r="A242" s="7"/>
      <c r="W242" s="1" t="str">
        <f>IF(Table1[[#This Row],[WHRS NET KW TOTAL]]="","", Table1[[#This Row],[WHRS NET KW TOTAL]]-U241)</f>
        <v/>
      </c>
      <c r="X242" s="6">
        <f>Table1[[#This Row],[WHRS  KW TOTAL]]-V241</f>
        <v>0</v>
      </c>
      <c r="Y242" s="6" t="b">
        <f>IF(AND(Table1[[#This Row],[WHRS KW RECOVERED PER DAY]]&lt;&gt;0,Table1[[#This Row],[WHRS RH]]&lt;&gt;0),ROUND(Table1[[#This Row],[WHRS KW RECOVERED PER DAY]]/Table1[[#This Row],[WHRS RH]],1))</f>
        <v>0</v>
      </c>
      <c r="Z242" s="8"/>
      <c r="AA242" s="1"/>
      <c r="AB242" s="1"/>
      <c r="AC242" s="1"/>
      <c r="AD242" s="1"/>
      <c r="AE242" s="1"/>
      <c r="AF242" s="1" t="str">
        <f t="shared" si="11"/>
        <v/>
      </c>
      <c r="AG242" s="1" t="str">
        <f t="shared" si="12"/>
        <v/>
      </c>
      <c r="AH242" s="1" t="str">
        <f t="shared" si="13"/>
        <v/>
      </c>
      <c r="AI242" s="1" t="str">
        <f>IF(AH242="", "", SUM($AH$4:AH242))</f>
        <v/>
      </c>
      <c r="AJ242" s="9"/>
    </row>
    <row r="243" spans="1:36">
      <c r="A243" s="7"/>
      <c r="W243" s="1" t="str">
        <f>IF(Table1[[#This Row],[WHRS NET KW TOTAL]]="","", Table1[[#This Row],[WHRS NET KW TOTAL]]-U242)</f>
        <v/>
      </c>
      <c r="X243" s="6">
        <f>Table1[[#This Row],[WHRS  KW TOTAL]]-V242</f>
        <v>0</v>
      </c>
      <c r="Y243" s="6" t="b">
        <f>IF(AND(Table1[[#This Row],[WHRS KW RECOVERED PER DAY]]&lt;&gt;0,Table1[[#This Row],[WHRS RH]]&lt;&gt;0),ROUND(Table1[[#This Row],[WHRS KW RECOVERED PER DAY]]/Table1[[#This Row],[WHRS RH]],1))</f>
        <v>0</v>
      </c>
      <c r="Z243" s="8"/>
      <c r="AA243" s="1"/>
      <c r="AB243" s="1"/>
      <c r="AC243" s="1"/>
      <c r="AD243" s="1"/>
      <c r="AE243" s="1"/>
      <c r="AF243" s="1" t="str">
        <f t="shared" si="11"/>
        <v/>
      </c>
      <c r="AG243" s="1" t="str">
        <f t="shared" si="12"/>
        <v/>
      </c>
      <c r="AH243" s="1" t="str">
        <f t="shared" si="13"/>
        <v/>
      </c>
      <c r="AI243" s="1" t="str">
        <f>IF(AH243="", "", SUM($AH$4:AH243))</f>
        <v/>
      </c>
      <c r="AJ243" s="9"/>
    </row>
    <row r="244" spans="1:36">
      <c r="A244" s="7"/>
      <c r="W244" s="1" t="str">
        <f>IF(Table1[[#This Row],[WHRS NET KW TOTAL]]="","", Table1[[#This Row],[WHRS NET KW TOTAL]]-U243)</f>
        <v/>
      </c>
      <c r="X244" s="6">
        <f>Table1[[#This Row],[WHRS  KW TOTAL]]-V243</f>
        <v>0</v>
      </c>
      <c r="Y244" s="6" t="b">
        <f>IF(AND(Table1[[#This Row],[WHRS KW RECOVERED PER DAY]]&lt;&gt;0,Table1[[#This Row],[WHRS RH]]&lt;&gt;0),ROUND(Table1[[#This Row],[WHRS KW RECOVERED PER DAY]]/Table1[[#This Row],[WHRS RH]],1))</f>
        <v>0</v>
      </c>
      <c r="Z244" s="8"/>
      <c r="AA244" s="1"/>
      <c r="AB244" s="1"/>
      <c r="AC244" s="1"/>
      <c r="AD244" s="1"/>
      <c r="AE244" s="1"/>
      <c r="AF244" s="1" t="str">
        <f t="shared" si="11"/>
        <v/>
      </c>
      <c r="AG244" s="1" t="str">
        <f t="shared" si="12"/>
        <v/>
      </c>
      <c r="AH244" s="1" t="str">
        <f t="shared" si="13"/>
        <v/>
      </c>
      <c r="AI244" s="1" t="str">
        <f>IF(AH244="", "", SUM($AH$4:AH244))</f>
        <v/>
      </c>
      <c r="AJ244" s="9"/>
    </row>
    <row r="245" spans="1:36">
      <c r="A245" s="7"/>
      <c r="W245" s="1" t="str">
        <f>IF(Table1[[#This Row],[WHRS NET KW TOTAL]]="","", Table1[[#This Row],[WHRS NET KW TOTAL]]-U244)</f>
        <v/>
      </c>
      <c r="X245" s="6">
        <f>Table1[[#This Row],[WHRS  KW TOTAL]]-V244</f>
        <v>0</v>
      </c>
      <c r="Y245" s="6" t="b">
        <f>IF(AND(Table1[[#This Row],[WHRS KW RECOVERED PER DAY]]&lt;&gt;0,Table1[[#This Row],[WHRS RH]]&lt;&gt;0),ROUND(Table1[[#This Row],[WHRS KW RECOVERED PER DAY]]/Table1[[#This Row],[WHRS RH]],1))</f>
        <v>0</v>
      </c>
      <c r="Z245" s="8"/>
      <c r="AA245" s="1"/>
      <c r="AB245" s="1"/>
      <c r="AC245" s="1"/>
      <c r="AD245" s="1"/>
      <c r="AE245" s="1"/>
      <c r="AF245" s="1" t="str">
        <f t="shared" si="11"/>
        <v/>
      </c>
      <c r="AG245" s="1" t="str">
        <f t="shared" si="12"/>
        <v/>
      </c>
      <c r="AH245" s="1" t="str">
        <f t="shared" si="13"/>
        <v/>
      </c>
      <c r="AI245" s="1" t="str">
        <f>IF(AH245="", "", SUM($AH$4:AH245))</f>
        <v/>
      </c>
      <c r="AJ245" s="9"/>
    </row>
    <row r="246" spans="1:36">
      <c r="A246" s="7"/>
      <c r="W246" s="1" t="str">
        <f>IF(Table1[[#This Row],[WHRS NET KW TOTAL]]="","", Table1[[#This Row],[WHRS NET KW TOTAL]]-U245)</f>
        <v/>
      </c>
      <c r="X246" s="6">
        <f>Table1[[#This Row],[WHRS  KW TOTAL]]-V245</f>
        <v>0</v>
      </c>
      <c r="Y246" s="6" t="b">
        <f>IF(AND(Table1[[#This Row],[WHRS KW RECOVERED PER DAY]]&lt;&gt;0,Table1[[#This Row],[WHRS RH]]&lt;&gt;0),ROUND(Table1[[#This Row],[WHRS KW RECOVERED PER DAY]]/Table1[[#This Row],[WHRS RH]],1))</f>
        <v>0</v>
      </c>
      <c r="Z246" s="8"/>
      <c r="AA246" s="1"/>
      <c r="AB246" s="1"/>
      <c r="AC246" s="1"/>
      <c r="AD246" s="1"/>
      <c r="AE246" s="1"/>
      <c r="AF246" s="1" t="str">
        <f t="shared" si="11"/>
        <v/>
      </c>
      <c r="AG246" s="1" t="str">
        <f t="shared" si="12"/>
        <v/>
      </c>
      <c r="AH246" s="1" t="str">
        <f t="shared" si="13"/>
        <v/>
      </c>
      <c r="AI246" s="1" t="str">
        <f>IF(AH246="", "", SUM($AH$4:AH246))</f>
        <v/>
      </c>
      <c r="AJ246" s="9"/>
    </row>
    <row r="247" spans="1:36">
      <c r="A247" s="7"/>
      <c r="W247" s="1" t="str">
        <f>IF(Table1[[#This Row],[WHRS NET KW TOTAL]]="","", Table1[[#This Row],[WHRS NET KW TOTAL]]-U246)</f>
        <v/>
      </c>
      <c r="X247" s="6">
        <f>Table1[[#This Row],[WHRS  KW TOTAL]]-V246</f>
        <v>0</v>
      </c>
      <c r="Y247" s="6" t="b">
        <f>IF(AND(Table1[[#This Row],[WHRS KW RECOVERED PER DAY]]&lt;&gt;0,Table1[[#This Row],[WHRS RH]]&lt;&gt;0),ROUND(Table1[[#This Row],[WHRS KW RECOVERED PER DAY]]/Table1[[#This Row],[WHRS RH]],1))</f>
        <v>0</v>
      </c>
      <c r="Z247" s="8"/>
      <c r="AA247" s="1"/>
      <c r="AB247" s="1"/>
      <c r="AC247" s="1"/>
      <c r="AD247" s="1"/>
      <c r="AE247" s="1"/>
      <c r="AF247" s="1" t="str">
        <f t="shared" si="11"/>
        <v/>
      </c>
      <c r="AG247" s="1" t="str">
        <f t="shared" si="12"/>
        <v/>
      </c>
      <c r="AH247" s="1" t="str">
        <f t="shared" si="13"/>
        <v/>
      </c>
      <c r="AI247" s="1" t="str">
        <f>IF(AH247="", "", SUM($AH$4:AH247))</f>
        <v/>
      </c>
      <c r="AJ247" s="9"/>
    </row>
    <row r="248" spans="1:36">
      <c r="A248" s="7"/>
      <c r="W248" s="1" t="str">
        <f>IF(Table1[[#This Row],[WHRS NET KW TOTAL]]="","", Table1[[#This Row],[WHRS NET KW TOTAL]]-U247)</f>
        <v/>
      </c>
      <c r="X248" s="6">
        <f>Table1[[#This Row],[WHRS  KW TOTAL]]-V247</f>
        <v>0</v>
      </c>
      <c r="Y248" s="6" t="b">
        <f>IF(AND(Table1[[#This Row],[WHRS KW RECOVERED PER DAY]]&lt;&gt;0,Table1[[#This Row],[WHRS RH]]&lt;&gt;0),ROUND(Table1[[#This Row],[WHRS KW RECOVERED PER DAY]]/Table1[[#This Row],[WHRS RH]],1))</f>
        <v>0</v>
      </c>
      <c r="Z248" s="8"/>
      <c r="AA248" s="1"/>
      <c r="AB248" s="1"/>
      <c r="AC248" s="1"/>
      <c r="AD248" s="1"/>
      <c r="AE248" s="1"/>
      <c r="AF248" s="1" t="str">
        <f t="shared" si="11"/>
        <v/>
      </c>
      <c r="AG248" s="1" t="str">
        <f t="shared" si="12"/>
        <v/>
      </c>
      <c r="AH248" s="1" t="str">
        <f t="shared" si="13"/>
        <v/>
      </c>
      <c r="AI248" s="1" t="str">
        <f>IF(AH248="", "", SUM($AH$4:AH248))</f>
        <v/>
      </c>
      <c r="AJ248" s="9"/>
    </row>
    <row r="249" spans="1:36">
      <c r="A249" s="7"/>
      <c r="W249" s="1" t="str">
        <f>IF(Table1[[#This Row],[WHRS NET KW TOTAL]]="","", Table1[[#This Row],[WHRS NET KW TOTAL]]-U248)</f>
        <v/>
      </c>
      <c r="X249" s="6">
        <f>Table1[[#This Row],[WHRS  KW TOTAL]]-V248</f>
        <v>0</v>
      </c>
      <c r="Y249" s="6" t="b">
        <f>IF(AND(Table1[[#This Row],[WHRS KW RECOVERED PER DAY]]&lt;&gt;0,Table1[[#This Row],[WHRS RH]]&lt;&gt;0),ROUND(Table1[[#This Row],[WHRS KW RECOVERED PER DAY]]/Table1[[#This Row],[WHRS RH]],1))</f>
        <v>0</v>
      </c>
      <c r="Z249" s="8"/>
      <c r="AA249" s="1"/>
      <c r="AB249" s="1"/>
      <c r="AC249" s="1"/>
      <c r="AD249" s="1"/>
      <c r="AE249" s="1"/>
      <c r="AF249" s="1" t="str">
        <f t="shared" si="11"/>
        <v/>
      </c>
      <c r="AG249" s="1" t="str">
        <f t="shared" si="12"/>
        <v/>
      </c>
      <c r="AH249" s="1" t="str">
        <f t="shared" si="13"/>
        <v/>
      </c>
      <c r="AI249" s="1" t="str">
        <f>IF(AH249="", "", SUM($AH$4:AH249))</f>
        <v/>
      </c>
      <c r="AJ249" s="9"/>
    </row>
    <row r="250" spans="1:36">
      <c r="A250" s="7"/>
      <c r="W250" s="1" t="str">
        <f>IF(Table1[[#This Row],[WHRS NET KW TOTAL]]="","", Table1[[#This Row],[WHRS NET KW TOTAL]]-U249)</f>
        <v/>
      </c>
      <c r="X250" s="6">
        <f>Table1[[#This Row],[WHRS  KW TOTAL]]-V249</f>
        <v>0</v>
      </c>
      <c r="Y250" s="6" t="b">
        <f>IF(AND(Table1[[#This Row],[WHRS KW RECOVERED PER DAY]]&lt;&gt;0,Table1[[#This Row],[WHRS RH]]&lt;&gt;0),ROUND(Table1[[#This Row],[WHRS KW RECOVERED PER DAY]]/Table1[[#This Row],[WHRS RH]],1))</f>
        <v>0</v>
      </c>
      <c r="Z250" s="8"/>
      <c r="AA250" s="1"/>
      <c r="AB250" s="1"/>
      <c r="AC250" s="1"/>
      <c r="AD250" s="1"/>
      <c r="AE250" s="1"/>
      <c r="AF250" s="1" t="str">
        <f t="shared" si="11"/>
        <v/>
      </c>
      <c r="AG250" s="1" t="str">
        <f t="shared" si="12"/>
        <v/>
      </c>
      <c r="AH250" s="1" t="str">
        <f t="shared" si="13"/>
        <v/>
      </c>
      <c r="AI250" s="1" t="str">
        <f>IF(AH250="", "", SUM($AH$4:AH250))</f>
        <v/>
      </c>
      <c r="AJ250" s="9"/>
    </row>
    <row r="251" spans="1:36">
      <c r="A251" s="7"/>
      <c r="W251" s="1" t="str">
        <f>IF(Table1[[#This Row],[WHRS NET KW TOTAL]]="","", Table1[[#This Row],[WHRS NET KW TOTAL]]-U250)</f>
        <v/>
      </c>
      <c r="X251" s="6">
        <f>Table1[[#This Row],[WHRS  KW TOTAL]]-V250</f>
        <v>0</v>
      </c>
      <c r="Y251" s="6" t="b">
        <f>IF(AND(Table1[[#This Row],[WHRS KW RECOVERED PER DAY]]&lt;&gt;0,Table1[[#This Row],[WHRS RH]]&lt;&gt;0),ROUND(Table1[[#This Row],[WHRS KW RECOVERED PER DAY]]/Table1[[#This Row],[WHRS RH]],1))</f>
        <v>0</v>
      </c>
      <c r="Z251" s="8"/>
      <c r="AA251" s="1"/>
      <c r="AB251" s="1"/>
      <c r="AC251" s="1"/>
      <c r="AD251" s="1"/>
      <c r="AE251" s="1"/>
      <c r="AF251" s="1" t="str">
        <f t="shared" si="11"/>
        <v/>
      </c>
      <c r="AG251" s="1" t="str">
        <f t="shared" si="12"/>
        <v/>
      </c>
      <c r="AH251" s="1" t="str">
        <f t="shared" si="13"/>
        <v/>
      </c>
      <c r="AI251" s="1" t="str">
        <f>IF(AH251="", "", SUM($AH$4:AH251))</f>
        <v/>
      </c>
      <c r="AJ251" s="9"/>
    </row>
    <row r="252" spans="1:36">
      <c r="A252" s="7"/>
      <c r="W252" s="1" t="str">
        <f>IF(Table1[[#This Row],[WHRS NET KW TOTAL]]="","", Table1[[#This Row],[WHRS NET KW TOTAL]]-U251)</f>
        <v/>
      </c>
      <c r="X252" s="6">
        <f>Table1[[#This Row],[WHRS  KW TOTAL]]-V251</f>
        <v>0</v>
      </c>
      <c r="Y252" s="6" t="b">
        <f>IF(AND(Table1[[#This Row],[WHRS KW RECOVERED PER DAY]]&lt;&gt;0,Table1[[#This Row],[WHRS RH]]&lt;&gt;0),ROUND(Table1[[#This Row],[WHRS KW RECOVERED PER DAY]]/Table1[[#This Row],[WHRS RH]],1))</f>
        <v>0</v>
      </c>
      <c r="Z252" s="8"/>
      <c r="AA252" s="1"/>
      <c r="AB252" s="1"/>
      <c r="AC252" s="1"/>
      <c r="AD252" s="1"/>
      <c r="AE252" s="1"/>
      <c r="AF252" s="1" t="str">
        <f t="shared" si="11"/>
        <v/>
      </c>
      <c r="AG252" s="1" t="str">
        <f t="shared" si="12"/>
        <v/>
      </c>
      <c r="AH252" s="1" t="str">
        <f t="shared" si="13"/>
        <v/>
      </c>
      <c r="AI252" s="1" t="str">
        <f>IF(AH252="", "", SUM($AH$4:AH252))</f>
        <v/>
      </c>
      <c r="AJ252" s="9"/>
    </row>
    <row r="253" spans="1:36">
      <c r="A253" s="7"/>
      <c r="W253" s="1" t="str">
        <f>IF(Table1[[#This Row],[WHRS NET KW TOTAL]]="","", Table1[[#This Row],[WHRS NET KW TOTAL]]-U252)</f>
        <v/>
      </c>
      <c r="X253" s="6">
        <f>Table1[[#This Row],[WHRS  KW TOTAL]]-V252</f>
        <v>0</v>
      </c>
      <c r="Y253" s="6" t="b">
        <f>IF(AND(Table1[[#This Row],[WHRS KW RECOVERED PER DAY]]&lt;&gt;0,Table1[[#This Row],[WHRS RH]]&lt;&gt;0),ROUND(Table1[[#This Row],[WHRS KW RECOVERED PER DAY]]/Table1[[#This Row],[WHRS RH]],1))</f>
        <v>0</v>
      </c>
      <c r="Z253" s="8"/>
      <c r="AA253" s="1"/>
      <c r="AB253" s="1"/>
      <c r="AC253" s="1"/>
      <c r="AD253" s="1"/>
      <c r="AE253" s="1"/>
      <c r="AF253" s="1" t="str">
        <f t="shared" si="11"/>
        <v/>
      </c>
      <c r="AG253" s="1" t="str">
        <f t="shared" si="12"/>
        <v/>
      </c>
      <c r="AH253" s="1" t="str">
        <f t="shared" si="13"/>
        <v/>
      </c>
      <c r="AI253" s="1" t="str">
        <f>IF(AH253="", "", SUM($AH$4:AH253))</f>
        <v/>
      </c>
      <c r="AJ253" s="9"/>
    </row>
    <row r="254" spans="1:36">
      <c r="A254" s="7"/>
      <c r="W254" s="1" t="str">
        <f>IF(Table1[[#This Row],[WHRS NET KW TOTAL]]="","", Table1[[#This Row],[WHRS NET KW TOTAL]]-U253)</f>
        <v/>
      </c>
      <c r="X254" s="6">
        <f>Table1[[#This Row],[WHRS  KW TOTAL]]-V253</f>
        <v>0</v>
      </c>
      <c r="Y254" s="6" t="b">
        <f>IF(AND(Table1[[#This Row],[WHRS KW RECOVERED PER DAY]]&lt;&gt;0,Table1[[#This Row],[WHRS RH]]&lt;&gt;0),ROUND(Table1[[#This Row],[WHRS KW RECOVERED PER DAY]]/Table1[[#This Row],[WHRS RH]],1))</f>
        <v>0</v>
      </c>
      <c r="Z254" s="8"/>
      <c r="AA254" s="1"/>
      <c r="AB254" s="1"/>
      <c r="AC254" s="1"/>
      <c r="AD254" s="1"/>
      <c r="AE254" s="1"/>
      <c r="AF254" s="1" t="str">
        <f t="shared" si="11"/>
        <v/>
      </c>
      <c r="AG254" s="1" t="str">
        <f t="shared" si="12"/>
        <v/>
      </c>
      <c r="AH254" s="1" t="str">
        <f t="shared" si="13"/>
        <v/>
      </c>
      <c r="AI254" s="1" t="str">
        <f>IF(AH254="", "", SUM($AH$4:AH254))</f>
        <v/>
      </c>
      <c r="AJ254" s="9"/>
    </row>
    <row r="255" spans="1:36">
      <c r="A255" s="7"/>
      <c r="W255" s="1" t="str">
        <f>IF(Table1[[#This Row],[WHRS NET KW TOTAL]]="","", Table1[[#This Row],[WHRS NET KW TOTAL]]-U254)</f>
        <v/>
      </c>
      <c r="X255" s="6">
        <f>Table1[[#This Row],[WHRS  KW TOTAL]]-V254</f>
        <v>0</v>
      </c>
      <c r="Y255" s="6" t="b">
        <f>IF(AND(Table1[[#This Row],[WHRS KW RECOVERED PER DAY]]&lt;&gt;0,Table1[[#This Row],[WHRS RH]]&lt;&gt;0),ROUND(Table1[[#This Row],[WHRS KW RECOVERED PER DAY]]/Table1[[#This Row],[WHRS RH]],1))</f>
        <v>0</v>
      </c>
      <c r="Z255" s="8"/>
      <c r="AA255" s="1"/>
      <c r="AB255" s="1"/>
      <c r="AC255" s="1"/>
      <c r="AD255" s="1"/>
      <c r="AE255" s="1"/>
      <c r="AF255" s="1" t="str">
        <f t="shared" si="11"/>
        <v/>
      </c>
      <c r="AG255" s="1" t="str">
        <f t="shared" si="12"/>
        <v/>
      </c>
      <c r="AH255" s="1" t="str">
        <f t="shared" si="13"/>
        <v/>
      </c>
      <c r="AI255" s="1" t="str">
        <f>IF(AH255="", "", SUM($AH$4:AH255))</f>
        <v/>
      </c>
      <c r="AJ255" s="9"/>
    </row>
    <row r="256" spans="1:36">
      <c r="A256" s="7"/>
      <c r="W256" s="1" t="str">
        <f>IF(Table1[[#This Row],[WHRS NET KW TOTAL]]="","", Table1[[#This Row],[WHRS NET KW TOTAL]]-U255)</f>
        <v/>
      </c>
      <c r="X256" s="6">
        <f>Table1[[#This Row],[WHRS  KW TOTAL]]-V255</f>
        <v>0</v>
      </c>
      <c r="Y256" s="6" t="b">
        <f>IF(AND(Table1[[#This Row],[WHRS KW RECOVERED PER DAY]]&lt;&gt;0,Table1[[#This Row],[WHRS RH]]&lt;&gt;0),ROUND(Table1[[#This Row],[WHRS KW RECOVERED PER DAY]]/Table1[[#This Row],[WHRS RH]],1))</f>
        <v>0</v>
      </c>
      <c r="Z256" s="8"/>
      <c r="AA256" s="1"/>
      <c r="AB256" s="1"/>
      <c r="AC256" s="1"/>
      <c r="AD256" s="1"/>
      <c r="AE256" s="1"/>
      <c r="AF256" s="1" t="str">
        <f t="shared" si="11"/>
        <v/>
      </c>
      <c r="AG256" s="1" t="str">
        <f t="shared" si="12"/>
        <v/>
      </c>
      <c r="AH256" s="1" t="str">
        <f t="shared" si="13"/>
        <v/>
      </c>
      <c r="AI256" s="1" t="str">
        <f>IF(AH256="", "", SUM($AH$4:AH256))</f>
        <v/>
      </c>
      <c r="AJ256" s="9"/>
    </row>
    <row r="257" spans="1:36">
      <c r="A257" s="7"/>
      <c r="W257" s="1" t="str">
        <f>IF(Table1[[#This Row],[WHRS NET KW TOTAL]]="","", Table1[[#This Row],[WHRS NET KW TOTAL]]-U256)</f>
        <v/>
      </c>
      <c r="X257" s="6">
        <f>Table1[[#This Row],[WHRS  KW TOTAL]]-V256</f>
        <v>0</v>
      </c>
      <c r="Y257" s="6" t="b">
        <f>IF(AND(Table1[[#This Row],[WHRS KW RECOVERED PER DAY]]&lt;&gt;0,Table1[[#This Row],[WHRS RH]]&lt;&gt;0),ROUND(Table1[[#This Row],[WHRS KW RECOVERED PER DAY]]/Table1[[#This Row],[WHRS RH]],1))</f>
        <v>0</v>
      </c>
      <c r="Z257" s="8"/>
      <c r="AA257" s="1"/>
      <c r="AB257" s="1"/>
      <c r="AC257" s="1"/>
      <c r="AD257" s="1"/>
      <c r="AE257" s="1"/>
      <c r="AF257" s="1" t="str">
        <f t="shared" si="11"/>
        <v/>
      </c>
      <c r="AG257" s="1" t="str">
        <f t="shared" si="12"/>
        <v/>
      </c>
      <c r="AH257" s="1" t="str">
        <f t="shared" si="13"/>
        <v/>
      </c>
      <c r="AI257" s="1" t="str">
        <f>IF(AH257="", "", SUM($AH$4:AH257))</f>
        <v/>
      </c>
      <c r="AJ257" s="9"/>
    </row>
    <row r="258" spans="1:36">
      <c r="A258" s="7"/>
      <c r="W258" s="1" t="str">
        <f>IF(Table1[[#This Row],[WHRS NET KW TOTAL]]="","", Table1[[#This Row],[WHRS NET KW TOTAL]]-U257)</f>
        <v/>
      </c>
      <c r="X258" s="6">
        <f>Table1[[#This Row],[WHRS  KW TOTAL]]-V257</f>
        <v>0</v>
      </c>
      <c r="Y258" s="6" t="b">
        <f>IF(AND(Table1[[#This Row],[WHRS KW RECOVERED PER DAY]]&lt;&gt;0,Table1[[#This Row],[WHRS RH]]&lt;&gt;0),ROUND(Table1[[#This Row],[WHRS KW RECOVERED PER DAY]]/Table1[[#This Row],[WHRS RH]],1))</f>
        <v>0</v>
      </c>
      <c r="Z258" s="8"/>
      <c r="AA258" s="1"/>
      <c r="AB258" s="1"/>
      <c r="AC258" s="1"/>
      <c r="AD258" s="1"/>
      <c r="AE258" s="1"/>
      <c r="AF258" s="1" t="str">
        <f t="shared" si="11"/>
        <v/>
      </c>
      <c r="AG258" s="1" t="str">
        <f t="shared" si="12"/>
        <v/>
      </c>
      <c r="AH258" s="1" t="str">
        <f t="shared" si="13"/>
        <v/>
      </c>
      <c r="AI258" s="1" t="str">
        <f>IF(AH258="", "", SUM($AH$4:AH258))</f>
        <v/>
      </c>
      <c r="AJ258" s="9"/>
    </row>
    <row r="259" spans="1:36">
      <c r="A259" s="7"/>
      <c r="W259" s="1" t="str">
        <f>IF(Table1[[#This Row],[WHRS NET KW TOTAL]]="","", Table1[[#This Row],[WHRS NET KW TOTAL]]-U258)</f>
        <v/>
      </c>
      <c r="X259" s="6">
        <f>Table1[[#This Row],[WHRS  KW TOTAL]]-V258</f>
        <v>0</v>
      </c>
      <c r="Y259" s="6" t="b">
        <f>IF(AND(Table1[[#This Row],[WHRS KW RECOVERED PER DAY]]&lt;&gt;0,Table1[[#This Row],[WHRS RH]]&lt;&gt;0),ROUND(Table1[[#This Row],[WHRS KW RECOVERED PER DAY]]/Table1[[#This Row],[WHRS RH]],1))</f>
        <v>0</v>
      </c>
      <c r="Z259" s="8"/>
      <c r="AA259" s="1"/>
      <c r="AB259" s="1"/>
      <c r="AC259" s="1"/>
      <c r="AD259" s="1"/>
      <c r="AE259" s="1"/>
      <c r="AF259" s="1" t="str">
        <f t="shared" si="11"/>
        <v/>
      </c>
      <c r="AG259" s="1" t="str">
        <f t="shared" si="12"/>
        <v/>
      </c>
      <c r="AH259" s="1" t="str">
        <f t="shared" si="13"/>
        <v/>
      </c>
      <c r="AI259" s="1" t="str">
        <f>IF(AH259="", "", SUM($AH$4:AH259))</f>
        <v/>
      </c>
      <c r="AJ259" s="9"/>
    </row>
    <row r="260" spans="1:36">
      <c r="A260" s="7"/>
      <c r="W260" s="1" t="str">
        <f>IF(Table1[[#This Row],[WHRS NET KW TOTAL]]="","", Table1[[#This Row],[WHRS NET KW TOTAL]]-U259)</f>
        <v/>
      </c>
      <c r="X260" s="6">
        <f>Table1[[#This Row],[WHRS  KW TOTAL]]-V259</f>
        <v>0</v>
      </c>
      <c r="Y260" s="6" t="b">
        <f>IF(AND(Table1[[#This Row],[WHRS KW RECOVERED PER DAY]]&lt;&gt;0,Table1[[#This Row],[WHRS RH]]&lt;&gt;0),ROUND(Table1[[#This Row],[WHRS KW RECOVERED PER DAY]]/Table1[[#This Row],[WHRS RH]],1))</f>
        <v>0</v>
      </c>
      <c r="Z260" s="8"/>
      <c r="AA260" s="1"/>
      <c r="AB260" s="1"/>
      <c r="AC260" s="1"/>
      <c r="AD260" s="1"/>
      <c r="AE260" s="1"/>
      <c r="AF260" s="1" t="str">
        <f t="shared" si="11"/>
        <v/>
      </c>
      <c r="AG260" s="1" t="str">
        <f t="shared" si="12"/>
        <v/>
      </c>
      <c r="AH260" s="1" t="str">
        <f t="shared" si="13"/>
        <v/>
      </c>
      <c r="AI260" s="1" t="str">
        <f>IF(AH260="", "", SUM($AH$4:AH260))</f>
        <v/>
      </c>
      <c r="AJ260" s="9"/>
    </row>
    <row r="261" spans="1:36">
      <c r="A261" s="7"/>
      <c r="W261" s="1" t="str">
        <f>IF(Table1[[#This Row],[WHRS NET KW TOTAL]]="","", Table1[[#This Row],[WHRS NET KW TOTAL]]-U260)</f>
        <v/>
      </c>
      <c r="X261" s="6">
        <f>Table1[[#This Row],[WHRS  KW TOTAL]]-V260</f>
        <v>0</v>
      </c>
      <c r="Y261" s="6" t="b">
        <f>IF(AND(Table1[[#This Row],[WHRS KW RECOVERED PER DAY]]&lt;&gt;0,Table1[[#This Row],[WHRS RH]]&lt;&gt;0),ROUND(Table1[[#This Row],[WHRS KW RECOVERED PER DAY]]/Table1[[#This Row],[WHRS RH]],1))</f>
        <v>0</v>
      </c>
      <c r="Z261" s="8"/>
      <c r="AA261" s="1"/>
      <c r="AB261" s="1"/>
      <c r="AC261" s="1"/>
      <c r="AD261" s="1"/>
      <c r="AE261" s="1"/>
      <c r="AF261" s="1" t="str">
        <f t="shared" ref="AF261:AF324" si="14">IF(TRIM(C261)="", "", IF(TRIM(C261)="LNG", 192.1, 182.4))</f>
        <v/>
      </c>
      <c r="AG261" s="1" t="str">
        <f t="shared" ref="AG261:AG324" si="15">IF(C261="", "", _xlfn.IFS(C261="LNG", 1345, C261="LSMGO", 1280, C261="VLSFO", 820, C261="HSFO", 635, TRUE, ""))</f>
        <v/>
      </c>
      <c r="AH261" s="1" t="str">
        <f t="shared" ref="AH261:AH324" si="16">IF(OR(W261="", AF261="", AG261=""), "", W261 * (AF261 / 1000000) * AG261)</f>
        <v/>
      </c>
      <c r="AI261" s="1" t="str">
        <f>IF(AH261="", "", SUM($AH$4:AH261))</f>
        <v/>
      </c>
      <c r="AJ261" s="9"/>
    </row>
    <row r="262" spans="1:36">
      <c r="A262" s="7"/>
      <c r="W262" s="1" t="str">
        <f>IF(Table1[[#This Row],[WHRS NET KW TOTAL]]="","", Table1[[#This Row],[WHRS NET KW TOTAL]]-U261)</f>
        <v/>
      </c>
      <c r="X262" s="6">
        <f>Table1[[#This Row],[WHRS  KW TOTAL]]-V261</f>
        <v>0</v>
      </c>
      <c r="Y262" s="6" t="b">
        <f>IF(AND(Table1[[#This Row],[WHRS KW RECOVERED PER DAY]]&lt;&gt;0,Table1[[#This Row],[WHRS RH]]&lt;&gt;0),ROUND(Table1[[#This Row],[WHRS KW RECOVERED PER DAY]]/Table1[[#This Row],[WHRS RH]],1))</f>
        <v>0</v>
      </c>
      <c r="Z262" s="8"/>
      <c r="AA262" s="1"/>
      <c r="AB262" s="1"/>
      <c r="AC262" s="1"/>
      <c r="AD262" s="1"/>
      <c r="AE262" s="1"/>
      <c r="AF262" s="1" t="str">
        <f t="shared" si="14"/>
        <v/>
      </c>
      <c r="AG262" s="1" t="str">
        <f t="shared" si="15"/>
        <v/>
      </c>
      <c r="AH262" s="1" t="str">
        <f t="shared" si="16"/>
        <v/>
      </c>
      <c r="AI262" s="1" t="str">
        <f>IF(AH262="", "", SUM($AH$4:AH262))</f>
        <v/>
      </c>
      <c r="AJ262" s="9"/>
    </row>
    <row r="263" spans="1:36">
      <c r="A263" s="7"/>
      <c r="W263" s="1" t="str">
        <f>IF(Table1[[#This Row],[WHRS NET KW TOTAL]]="","", Table1[[#This Row],[WHRS NET KW TOTAL]]-U262)</f>
        <v/>
      </c>
      <c r="X263" s="6">
        <f>Table1[[#This Row],[WHRS  KW TOTAL]]-V262</f>
        <v>0</v>
      </c>
      <c r="Y263" s="6" t="b">
        <f>IF(AND(Table1[[#This Row],[WHRS KW RECOVERED PER DAY]]&lt;&gt;0,Table1[[#This Row],[WHRS RH]]&lt;&gt;0),ROUND(Table1[[#This Row],[WHRS KW RECOVERED PER DAY]]/Table1[[#This Row],[WHRS RH]],1))</f>
        <v>0</v>
      </c>
      <c r="Z263" s="8"/>
      <c r="AA263" s="1"/>
      <c r="AB263" s="1"/>
      <c r="AC263" s="1"/>
      <c r="AD263" s="1"/>
      <c r="AE263" s="1"/>
      <c r="AF263" s="1" t="str">
        <f t="shared" si="14"/>
        <v/>
      </c>
      <c r="AG263" s="1" t="str">
        <f t="shared" si="15"/>
        <v/>
      </c>
      <c r="AH263" s="1" t="str">
        <f t="shared" si="16"/>
        <v/>
      </c>
      <c r="AI263" s="1" t="str">
        <f>IF(AH263="", "", SUM($AH$4:AH263))</f>
        <v/>
      </c>
      <c r="AJ263" s="9"/>
    </row>
    <row r="264" spans="1:36">
      <c r="A264" s="7"/>
      <c r="W264" s="1" t="str">
        <f>IF(Table1[[#This Row],[WHRS NET KW TOTAL]]="","", Table1[[#This Row],[WHRS NET KW TOTAL]]-U263)</f>
        <v/>
      </c>
      <c r="X264" s="6">
        <f>Table1[[#This Row],[WHRS  KW TOTAL]]-V263</f>
        <v>0</v>
      </c>
      <c r="Y264" s="6" t="b">
        <f>IF(AND(Table1[[#This Row],[WHRS KW RECOVERED PER DAY]]&lt;&gt;0,Table1[[#This Row],[WHRS RH]]&lt;&gt;0),ROUND(Table1[[#This Row],[WHRS KW RECOVERED PER DAY]]/Table1[[#This Row],[WHRS RH]],1))</f>
        <v>0</v>
      </c>
      <c r="Z264" s="8"/>
      <c r="AA264" s="1"/>
      <c r="AB264" s="1"/>
      <c r="AC264" s="1"/>
      <c r="AD264" s="1"/>
      <c r="AE264" s="1"/>
      <c r="AF264" s="1" t="str">
        <f t="shared" si="14"/>
        <v/>
      </c>
      <c r="AG264" s="1" t="str">
        <f t="shared" si="15"/>
        <v/>
      </c>
      <c r="AH264" s="1" t="str">
        <f t="shared" si="16"/>
        <v/>
      </c>
      <c r="AI264" s="1" t="str">
        <f>IF(AH264="", "", SUM($AH$4:AH264))</f>
        <v/>
      </c>
      <c r="AJ264" s="9"/>
    </row>
    <row r="265" spans="1:36">
      <c r="A265" s="7"/>
      <c r="W265" s="1" t="str">
        <f>IF(Table1[[#This Row],[WHRS NET KW TOTAL]]="","", Table1[[#This Row],[WHRS NET KW TOTAL]]-U264)</f>
        <v/>
      </c>
      <c r="X265" s="6">
        <f>Table1[[#This Row],[WHRS  KW TOTAL]]-V264</f>
        <v>0</v>
      </c>
      <c r="Y265" s="6" t="b">
        <f>IF(AND(Table1[[#This Row],[WHRS KW RECOVERED PER DAY]]&lt;&gt;0,Table1[[#This Row],[WHRS RH]]&lt;&gt;0),ROUND(Table1[[#This Row],[WHRS KW RECOVERED PER DAY]]/Table1[[#This Row],[WHRS RH]],1))</f>
        <v>0</v>
      </c>
      <c r="Z265" s="8"/>
      <c r="AA265" s="1"/>
      <c r="AB265" s="1"/>
      <c r="AC265" s="1"/>
      <c r="AD265" s="1"/>
      <c r="AE265" s="1"/>
      <c r="AF265" s="1" t="str">
        <f t="shared" si="14"/>
        <v/>
      </c>
      <c r="AG265" s="1" t="str">
        <f t="shared" si="15"/>
        <v/>
      </c>
      <c r="AH265" s="1" t="str">
        <f t="shared" si="16"/>
        <v/>
      </c>
      <c r="AI265" s="1" t="str">
        <f>IF(AH265="", "", SUM($AH$4:AH265))</f>
        <v/>
      </c>
      <c r="AJ265" s="9"/>
    </row>
    <row r="266" spans="1:36">
      <c r="A266" s="7"/>
      <c r="W266" s="1" t="str">
        <f>IF(Table1[[#This Row],[WHRS NET KW TOTAL]]="","", Table1[[#This Row],[WHRS NET KW TOTAL]]-U265)</f>
        <v/>
      </c>
      <c r="X266" s="6">
        <f>Table1[[#This Row],[WHRS  KW TOTAL]]-V265</f>
        <v>0</v>
      </c>
      <c r="Y266" s="6" t="b">
        <f>IF(AND(Table1[[#This Row],[WHRS KW RECOVERED PER DAY]]&lt;&gt;0,Table1[[#This Row],[WHRS RH]]&lt;&gt;0),ROUND(Table1[[#This Row],[WHRS KW RECOVERED PER DAY]]/Table1[[#This Row],[WHRS RH]],1))</f>
        <v>0</v>
      </c>
      <c r="Z266" s="8"/>
      <c r="AA266" s="1"/>
      <c r="AB266" s="1"/>
      <c r="AC266" s="1"/>
      <c r="AD266" s="1"/>
      <c r="AE266" s="1"/>
      <c r="AF266" s="1" t="str">
        <f t="shared" si="14"/>
        <v/>
      </c>
      <c r="AG266" s="1" t="str">
        <f t="shared" si="15"/>
        <v/>
      </c>
      <c r="AH266" s="1" t="str">
        <f t="shared" si="16"/>
        <v/>
      </c>
      <c r="AI266" s="1" t="str">
        <f>IF(AH266="", "", SUM($AH$4:AH266))</f>
        <v/>
      </c>
      <c r="AJ266" s="9"/>
    </row>
    <row r="267" spans="1:36">
      <c r="A267" s="7"/>
      <c r="W267" s="1" t="str">
        <f>IF(Table1[[#This Row],[WHRS NET KW TOTAL]]="","", Table1[[#This Row],[WHRS NET KW TOTAL]]-U266)</f>
        <v/>
      </c>
      <c r="X267" s="6">
        <f>Table1[[#This Row],[WHRS  KW TOTAL]]-V266</f>
        <v>0</v>
      </c>
      <c r="Y267" s="6" t="b">
        <f>IF(AND(Table1[[#This Row],[WHRS KW RECOVERED PER DAY]]&lt;&gt;0,Table1[[#This Row],[WHRS RH]]&lt;&gt;0),ROUND(Table1[[#This Row],[WHRS KW RECOVERED PER DAY]]/Table1[[#This Row],[WHRS RH]],1))</f>
        <v>0</v>
      </c>
      <c r="Z267" s="8"/>
      <c r="AA267" s="1"/>
      <c r="AB267" s="1"/>
      <c r="AC267" s="1"/>
      <c r="AD267" s="1"/>
      <c r="AE267" s="1"/>
      <c r="AF267" s="1" t="str">
        <f t="shared" si="14"/>
        <v/>
      </c>
      <c r="AG267" s="1" t="str">
        <f t="shared" si="15"/>
        <v/>
      </c>
      <c r="AH267" s="1" t="str">
        <f t="shared" si="16"/>
        <v/>
      </c>
      <c r="AI267" s="1" t="str">
        <f>IF(AH267="", "", SUM($AH$4:AH267))</f>
        <v/>
      </c>
      <c r="AJ267" s="9"/>
    </row>
    <row r="268" spans="1:36">
      <c r="A268" s="7"/>
      <c r="W268" s="1" t="str">
        <f>IF(Table1[[#This Row],[WHRS NET KW TOTAL]]="","", Table1[[#This Row],[WHRS NET KW TOTAL]]-U267)</f>
        <v/>
      </c>
      <c r="X268" s="6">
        <f>Table1[[#This Row],[WHRS  KW TOTAL]]-V267</f>
        <v>0</v>
      </c>
      <c r="Y268" s="6" t="b">
        <f>IF(AND(Table1[[#This Row],[WHRS KW RECOVERED PER DAY]]&lt;&gt;0,Table1[[#This Row],[WHRS RH]]&lt;&gt;0),ROUND(Table1[[#This Row],[WHRS KW RECOVERED PER DAY]]/Table1[[#This Row],[WHRS RH]],1))</f>
        <v>0</v>
      </c>
      <c r="Z268" s="8"/>
      <c r="AA268" s="1"/>
      <c r="AB268" s="1"/>
      <c r="AC268" s="1"/>
      <c r="AD268" s="1"/>
      <c r="AE268" s="1"/>
      <c r="AF268" s="1" t="str">
        <f t="shared" si="14"/>
        <v/>
      </c>
      <c r="AG268" s="1" t="str">
        <f t="shared" si="15"/>
        <v/>
      </c>
      <c r="AH268" s="1" t="str">
        <f t="shared" si="16"/>
        <v/>
      </c>
      <c r="AI268" s="1" t="str">
        <f>IF(AH268="", "", SUM($AH$4:AH268))</f>
        <v/>
      </c>
      <c r="AJ268" s="9"/>
    </row>
    <row r="269" spans="1:36">
      <c r="A269" s="7"/>
      <c r="W269" s="1" t="str">
        <f>IF(Table1[[#This Row],[WHRS NET KW TOTAL]]="","", Table1[[#This Row],[WHRS NET KW TOTAL]]-U268)</f>
        <v/>
      </c>
      <c r="X269" s="6">
        <f>Table1[[#This Row],[WHRS  KW TOTAL]]-V268</f>
        <v>0</v>
      </c>
      <c r="Y269" s="6" t="b">
        <f>IF(AND(Table1[[#This Row],[WHRS KW RECOVERED PER DAY]]&lt;&gt;0,Table1[[#This Row],[WHRS RH]]&lt;&gt;0),ROUND(Table1[[#This Row],[WHRS KW RECOVERED PER DAY]]/Table1[[#This Row],[WHRS RH]],1))</f>
        <v>0</v>
      </c>
      <c r="Z269" s="8"/>
      <c r="AA269" s="1"/>
      <c r="AB269" s="1"/>
      <c r="AC269" s="1"/>
      <c r="AD269" s="1"/>
      <c r="AE269" s="1"/>
      <c r="AF269" s="1" t="str">
        <f t="shared" si="14"/>
        <v/>
      </c>
      <c r="AG269" s="1" t="str">
        <f t="shared" si="15"/>
        <v/>
      </c>
      <c r="AH269" s="1" t="str">
        <f t="shared" si="16"/>
        <v/>
      </c>
      <c r="AI269" s="1" t="str">
        <f>IF(AH269="", "", SUM($AH$4:AH269))</f>
        <v/>
      </c>
      <c r="AJ269" s="9"/>
    </row>
    <row r="270" spans="1:36">
      <c r="A270" s="7"/>
      <c r="W270" s="1" t="str">
        <f>IF(Table1[[#This Row],[WHRS NET KW TOTAL]]="","", Table1[[#This Row],[WHRS NET KW TOTAL]]-U269)</f>
        <v/>
      </c>
      <c r="X270" s="6">
        <f>Table1[[#This Row],[WHRS  KW TOTAL]]-V269</f>
        <v>0</v>
      </c>
      <c r="Y270" s="6" t="b">
        <f>IF(AND(Table1[[#This Row],[WHRS KW RECOVERED PER DAY]]&lt;&gt;0,Table1[[#This Row],[WHRS RH]]&lt;&gt;0),ROUND(Table1[[#This Row],[WHRS KW RECOVERED PER DAY]]/Table1[[#This Row],[WHRS RH]],1))</f>
        <v>0</v>
      </c>
      <c r="Z270" s="8"/>
      <c r="AA270" s="1"/>
      <c r="AB270" s="1"/>
      <c r="AC270" s="1"/>
      <c r="AD270" s="1"/>
      <c r="AE270" s="1"/>
      <c r="AF270" s="1" t="str">
        <f t="shared" si="14"/>
        <v/>
      </c>
      <c r="AG270" s="1" t="str">
        <f t="shared" si="15"/>
        <v/>
      </c>
      <c r="AH270" s="1" t="str">
        <f t="shared" si="16"/>
        <v/>
      </c>
      <c r="AI270" s="1" t="str">
        <f>IF(AH270="", "", SUM($AH$4:AH270))</f>
        <v/>
      </c>
      <c r="AJ270" s="9"/>
    </row>
    <row r="271" spans="1:36">
      <c r="A271" s="7"/>
      <c r="W271" s="1" t="str">
        <f>IF(Table1[[#This Row],[WHRS NET KW TOTAL]]="","", Table1[[#This Row],[WHRS NET KW TOTAL]]-U270)</f>
        <v/>
      </c>
      <c r="X271" s="6">
        <f>Table1[[#This Row],[WHRS  KW TOTAL]]-V270</f>
        <v>0</v>
      </c>
      <c r="Y271" s="6" t="b">
        <f>IF(AND(Table1[[#This Row],[WHRS KW RECOVERED PER DAY]]&lt;&gt;0,Table1[[#This Row],[WHRS RH]]&lt;&gt;0),ROUND(Table1[[#This Row],[WHRS KW RECOVERED PER DAY]]/Table1[[#This Row],[WHRS RH]],1))</f>
        <v>0</v>
      </c>
      <c r="Z271" s="8"/>
      <c r="AA271" s="1"/>
      <c r="AB271" s="1"/>
      <c r="AC271" s="1"/>
      <c r="AD271" s="1"/>
      <c r="AE271" s="1"/>
      <c r="AF271" s="1" t="str">
        <f t="shared" si="14"/>
        <v/>
      </c>
      <c r="AG271" s="1" t="str">
        <f t="shared" si="15"/>
        <v/>
      </c>
      <c r="AH271" s="1" t="str">
        <f t="shared" si="16"/>
        <v/>
      </c>
      <c r="AI271" s="1" t="str">
        <f>IF(AH271="", "", SUM($AH$4:AH271))</f>
        <v/>
      </c>
      <c r="AJ271" s="9"/>
    </row>
    <row r="272" spans="1:36">
      <c r="A272" s="7"/>
      <c r="W272" s="1" t="str">
        <f>IF(Table1[[#This Row],[WHRS NET KW TOTAL]]="","", Table1[[#This Row],[WHRS NET KW TOTAL]]-U271)</f>
        <v/>
      </c>
      <c r="X272" s="6">
        <f>Table1[[#This Row],[WHRS  KW TOTAL]]-V271</f>
        <v>0</v>
      </c>
      <c r="Y272" s="6" t="b">
        <f>IF(AND(Table1[[#This Row],[WHRS KW RECOVERED PER DAY]]&lt;&gt;0,Table1[[#This Row],[WHRS RH]]&lt;&gt;0),ROUND(Table1[[#This Row],[WHRS KW RECOVERED PER DAY]]/Table1[[#This Row],[WHRS RH]],1))</f>
        <v>0</v>
      </c>
      <c r="Z272" s="8"/>
      <c r="AA272" s="1"/>
      <c r="AB272" s="1"/>
      <c r="AC272" s="1"/>
      <c r="AD272" s="1"/>
      <c r="AE272" s="1"/>
      <c r="AF272" s="1" t="str">
        <f t="shared" si="14"/>
        <v/>
      </c>
      <c r="AG272" s="1" t="str">
        <f t="shared" si="15"/>
        <v/>
      </c>
      <c r="AH272" s="1" t="str">
        <f t="shared" si="16"/>
        <v/>
      </c>
      <c r="AI272" s="1" t="str">
        <f>IF(AH272="", "", SUM($AH$4:AH272))</f>
        <v/>
      </c>
      <c r="AJ272" s="9"/>
    </row>
    <row r="273" spans="1:36">
      <c r="A273" s="7"/>
      <c r="W273" s="1" t="str">
        <f>IF(Table1[[#This Row],[WHRS NET KW TOTAL]]="","", Table1[[#This Row],[WHRS NET KW TOTAL]]-U272)</f>
        <v/>
      </c>
      <c r="X273" s="6">
        <f>Table1[[#This Row],[WHRS  KW TOTAL]]-V272</f>
        <v>0</v>
      </c>
      <c r="Y273" s="6" t="b">
        <f>IF(AND(Table1[[#This Row],[WHRS KW RECOVERED PER DAY]]&lt;&gt;0,Table1[[#This Row],[WHRS RH]]&lt;&gt;0),ROUND(Table1[[#This Row],[WHRS KW RECOVERED PER DAY]]/Table1[[#This Row],[WHRS RH]],1))</f>
        <v>0</v>
      </c>
      <c r="Z273" s="8"/>
      <c r="AA273" s="1"/>
      <c r="AB273" s="1"/>
      <c r="AC273" s="1"/>
      <c r="AD273" s="1"/>
      <c r="AE273" s="1"/>
      <c r="AF273" s="1" t="str">
        <f t="shared" si="14"/>
        <v/>
      </c>
      <c r="AG273" s="1" t="str">
        <f t="shared" si="15"/>
        <v/>
      </c>
      <c r="AH273" s="1" t="str">
        <f t="shared" si="16"/>
        <v/>
      </c>
      <c r="AI273" s="1" t="str">
        <f>IF(AH273="", "", SUM($AH$4:AH273))</f>
        <v/>
      </c>
      <c r="AJ273" s="9"/>
    </row>
    <row r="274" spans="1:36">
      <c r="A274" s="7"/>
      <c r="W274" s="1" t="str">
        <f>IF(Table1[[#This Row],[WHRS NET KW TOTAL]]="","", Table1[[#This Row],[WHRS NET KW TOTAL]]-U273)</f>
        <v/>
      </c>
      <c r="X274" s="6">
        <f>Table1[[#This Row],[WHRS  KW TOTAL]]-V273</f>
        <v>0</v>
      </c>
      <c r="Y274" s="6" t="b">
        <f>IF(AND(Table1[[#This Row],[WHRS KW RECOVERED PER DAY]]&lt;&gt;0,Table1[[#This Row],[WHRS RH]]&lt;&gt;0),ROUND(Table1[[#This Row],[WHRS KW RECOVERED PER DAY]]/Table1[[#This Row],[WHRS RH]],1))</f>
        <v>0</v>
      </c>
      <c r="Z274" s="8"/>
      <c r="AA274" s="1"/>
      <c r="AB274" s="1"/>
      <c r="AC274" s="1"/>
      <c r="AD274" s="1"/>
      <c r="AE274" s="1"/>
      <c r="AF274" s="1" t="str">
        <f t="shared" si="14"/>
        <v/>
      </c>
      <c r="AG274" s="1" t="str">
        <f t="shared" si="15"/>
        <v/>
      </c>
      <c r="AH274" s="1" t="str">
        <f t="shared" si="16"/>
        <v/>
      </c>
      <c r="AI274" s="1" t="str">
        <f>IF(AH274="", "", SUM($AH$4:AH274))</f>
        <v/>
      </c>
      <c r="AJ274" s="9"/>
    </row>
    <row r="275" spans="1:36">
      <c r="A275" s="7"/>
      <c r="W275" s="1" t="str">
        <f>IF(Table1[[#This Row],[WHRS NET KW TOTAL]]="","", Table1[[#This Row],[WHRS NET KW TOTAL]]-U274)</f>
        <v/>
      </c>
      <c r="X275" s="6">
        <f>Table1[[#This Row],[WHRS  KW TOTAL]]-V274</f>
        <v>0</v>
      </c>
      <c r="Y275" s="6" t="b">
        <f>IF(AND(Table1[[#This Row],[WHRS KW RECOVERED PER DAY]]&lt;&gt;0,Table1[[#This Row],[WHRS RH]]&lt;&gt;0),ROUND(Table1[[#This Row],[WHRS KW RECOVERED PER DAY]]/Table1[[#This Row],[WHRS RH]],1))</f>
        <v>0</v>
      </c>
      <c r="Z275" s="8"/>
      <c r="AA275" s="1"/>
      <c r="AB275" s="1"/>
      <c r="AC275" s="1"/>
      <c r="AD275" s="1"/>
      <c r="AE275" s="1"/>
      <c r="AF275" s="1" t="str">
        <f t="shared" si="14"/>
        <v/>
      </c>
      <c r="AG275" s="1" t="str">
        <f t="shared" si="15"/>
        <v/>
      </c>
      <c r="AH275" s="1" t="str">
        <f t="shared" si="16"/>
        <v/>
      </c>
      <c r="AI275" s="1" t="str">
        <f>IF(AH275="", "", SUM($AH$4:AH275))</f>
        <v/>
      </c>
      <c r="AJ275" s="9"/>
    </row>
    <row r="276" spans="1:36">
      <c r="A276" s="7"/>
      <c r="W276" s="1" t="str">
        <f>IF(Table1[[#This Row],[WHRS NET KW TOTAL]]="","", Table1[[#This Row],[WHRS NET KW TOTAL]]-U275)</f>
        <v/>
      </c>
      <c r="X276" s="6">
        <f>Table1[[#This Row],[WHRS  KW TOTAL]]-V275</f>
        <v>0</v>
      </c>
      <c r="Y276" s="6" t="b">
        <f>IF(AND(Table1[[#This Row],[WHRS KW RECOVERED PER DAY]]&lt;&gt;0,Table1[[#This Row],[WHRS RH]]&lt;&gt;0),ROUND(Table1[[#This Row],[WHRS KW RECOVERED PER DAY]]/Table1[[#This Row],[WHRS RH]],1))</f>
        <v>0</v>
      </c>
      <c r="Z276" s="8"/>
      <c r="AA276" s="1"/>
      <c r="AB276" s="1"/>
      <c r="AC276" s="1"/>
      <c r="AD276" s="1"/>
      <c r="AE276" s="1"/>
      <c r="AF276" s="1" t="str">
        <f t="shared" si="14"/>
        <v/>
      </c>
      <c r="AG276" s="1" t="str">
        <f t="shared" si="15"/>
        <v/>
      </c>
      <c r="AH276" s="1" t="str">
        <f t="shared" si="16"/>
        <v/>
      </c>
      <c r="AI276" s="1" t="str">
        <f>IF(AH276="", "", SUM($AH$4:AH276))</f>
        <v/>
      </c>
      <c r="AJ276" s="9"/>
    </row>
    <row r="277" spans="1:36">
      <c r="A277" s="7"/>
      <c r="W277" s="1" t="str">
        <f>IF(Table1[[#This Row],[WHRS NET KW TOTAL]]="","", Table1[[#This Row],[WHRS NET KW TOTAL]]-U276)</f>
        <v/>
      </c>
      <c r="X277" s="6">
        <f>Table1[[#This Row],[WHRS  KW TOTAL]]-V276</f>
        <v>0</v>
      </c>
      <c r="Y277" s="6" t="b">
        <f>IF(AND(Table1[[#This Row],[WHRS KW RECOVERED PER DAY]]&lt;&gt;0,Table1[[#This Row],[WHRS RH]]&lt;&gt;0),ROUND(Table1[[#This Row],[WHRS KW RECOVERED PER DAY]]/Table1[[#This Row],[WHRS RH]],1))</f>
        <v>0</v>
      </c>
      <c r="Z277" s="8"/>
      <c r="AA277" s="1"/>
      <c r="AB277" s="1"/>
      <c r="AC277" s="1"/>
      <c r="AD277" s="1"/>
      <c r="AE277" s="1"/>
      <c r="AF277" s="1" t="str">
        <f t="shared" si="14"/>
        <v/>
      </c>
      <c r="AG277" s="1" t="str">
        <f t="shared" si="15"/>
        <v/>
      </c>
      <c r="AH277" s="1" t="str">
        <f t="shared" si="16"/>
        <v/>
      </c>
      <c r="AI277" s="1" t="str">
        <f>IF(AH277="", "", SUM($AH$4:AH277))</f>
        <v/>
      </c>
      <c r="AJ277" s="9"/>
    </row>
    <row r="278" spans="1:36">
      <c r="A278" s="7"/>
      <c r="W278" s="1" t="str">
        <f>IF(Table1[[#This Row],[WHRS NET KW TOTAL]]="","", Table1[[#This Row],[WHRS NET KW TOTAL]]-U277)</f>
        <v/>
      </c>
      <c r="X278" s="6">
        <f>Table1[[#This Row],[WHRS  KW TOTAL]]-V277</f>
        <v>0</v>
      </c>
      <c r="Y278" s="6" t="b">
        <f>IF(AND(Table1[[#This Row],[WHRS KW RECOVERED PER DAY]]&lt;&gt;0,Table1[[#This Row],[WHRS RH]]&lt;&gt;0),ROUND(Table1[[#This Row],[WHRS KW RECOVERED PER DAY]]/Table1[[#This Row],[WHRS RH]],1))</f>
        <v>0</v>
      </c>
      <c r="Z278" s="8"/>
      <c r="AA278" s="1"/>
      <c r="AB278" s="1"/>
      <c r="AC278" s="1"/>
      <c r="AD278" s="1"/>
      <c r="AE278" s="1"/>
      <c r="AF278" s="1" t="str">
        <f t="shared" si="14"/>
        <v/>
      </c>
      <c r="AG278" s="1" t="str">
        <f t="shared" si="15"/>
        <v/>
      </c>
      <c r="AH278" s="1" t="str">
        <f t="shared" si="16"/>
        <v/>
      </c>
      <c r="AI278" s="1" t="str">
        <f>IF(AH278="", "", SUM($AH$4:AH278))</f>
        <v/>
      </c>
      <c r="AJ278" s="9"/>
    </row>
    <row r="279" spans="1:36">
      <c r="A279" s="7"/>
      <c r="W279" s="1" t="str">
        <f>IF(Table1[[#This Row],[WHRS NET KW TOTAL]]="","", Table1[[#This Row],[WHRS NET KW TOTAL]]-U278)</f>
        <v/>
      </c>
      <c r="X279" s="6">
        <f>Table1[[#This Row],[WHRS  KW TOTAL]]-V278</f>
        <v>0</v>
      </c>
      <c r="Y279" s="6">
        <v>0</v>
      </c>
      <c r="Z279" s="8"/>
      <c r="AA279" s="1"/>
      <c r="AB279" s="1"/>
      <c r="AC279" s="1"/>
      <c r="AD279" s="1"/>
      <c r="AE279" s="1"/>
      <c r="AF279" s="1" t="str">
        <f t="shared" si="14"/>
        <v/>
      </c>
      <c r="AG279" s="1" t="str">
        <f t="shared" si="15"/>
        <v/>
      </c>
      <c r="AH279" s="1" t="str">
        <f t="shared" si="16"/>
        <v/>
      </c>
      <c r="AI279" s="1" t="str">
        <f>IF(AH279="", "", SUM($AH$4:AH279))</f>
        <v/>
      </c>
      <c r="AJ279" s="9"/>
    </row>
    <row r="280" spans="1:36">
      <c r="A280" s="7"/>
      <c r="W280" s="1" t="str">
        <f>IF(Table1[[#This Row],[WHRS NET KW TOTAL]]="","", Table1[[#This Row],[WHRS NET KW TOTAL]]-U279)</f>
        <v/>
      </c>
      <c r="X280" s="6">
        <f>Table1[[#This Row],[WHRS  KW TOTAL]]-V279</f>
        <v>0</v>
      </c>
      <c r="Y280" s="6" t="b">
        <f>IF(AND(Table1[[#This Row],[WHRS KW RECOVERED PER DAY]]&lt;&gt;0,Table1[[#This Row],[WHRS RH]]&lt;&gt;0),ROUND(Table1[[#This Row],[WHRS KW RECOVERED PER DAY]]/Table1[[#This Row],[WHRS RH]],1))</f>
        <v>0</v>
      </c>
      <c r="Z280" s="8"/>
      <c r="AA280" s="1"/>
      <c r="AB280" s="1"/>
      <c r="AC280" s="1"/>
      <c r="AD280" s="1"/>
      <c r="AE280" s="1"/>
      <c r="AF280" s="1" t="str">
        <f t="shared" si="14"/>
        <v/>
      </c>
      <c r="AG280" s="1" t="str">
        <f t="shared" si="15"/>
        <v/>
      </c>
      <c r="AH280" s="1" t="str">
        <f t="shared" si="16"/>
        <v/>
      </c>
      <c r="AI280" s="1" t="str">
        <f>IF(AH280="", "", SUM($AH$4:AH280))</f>
        <v/>
      </c>
      <c r="AJ280" s="9"/>
    </row>
    <row r="281" spans="1:36">
      <c r="A281" s="7"/>
      <c r="W281" s="1" t="str">
        <f>IF(Table1[[#This Row],[WHRS NET KW TOTAL]]="","", Table1[[#This Row],[WHRS NET KW TOTAL]]-U280)</f>
        <v/>
      </c>
      <c r="X281" s="6">
        <f>Table1[[#This Row],[WHRS  KW TOTAL]]-V280</f>
        <v>0</v>
      </c>
      <c r="Y281" s="6" t="b">
        <f>IF(AND(Table1[[#This Row],[WHRS KW RECOVERED PER DAY]]&lt;&gt;0,Table1[[#This Row],[WHRS RH]]&lt;&gt;0),ROUND(Table1[[#This Row],[WHRS KW RECOVERED PER DAY]]/Table1[[#This Row],[WHRS RH]],1))</f>
        <v>0</v>
      </c>
      <c r="Z281" s="8"/>
      <c r="AA281" s="1"/>
      <c r="AB281" s="1"/>
      <c r="AC281" s="1"/>
      <c r="AD281" s="1"/>
      <c r="AE281" s="1"/>
      <c r="AF281" s="1" t="str">
        <f t="shared" si="14"/>
        <v/>
      </c>
      <c r="AG281" s="1" t="str">
        <f t="shared" si="15"/>
        <v/>
      </c>
      <c r="AH281" s="1" t="str">
        <f t="shared" si="16"/>
        <v/>
      </c>
      <c r="AI281" s="1" t="str">
        <f>IF(AH281="", "", SUM($AH$4:AH281))</f>
        <v/>
      </c>
      <c r="AJ281" s="9"/>
    </row>
    <row r="282" spans="1:36">
      <c r="A282" s="7"/>
      <c r="W282" s="1" t="str">
        <f>IF(Table1[[#This Row],[WHRS NET KW TOTAL]]="","", Table1[[#This Row],[WHRS NET KW TOTAL]]-U281)</f>
        <v/>
      </c>
      <c r="X282" s="6">
        <f>Table1[[#This Row],[WHRS  KW TOTAL]]-V281</f>
        <v>0</v>
      </c>
      <c r="Y282" s="6" t="b">
        <f>IF(AND(Table1[[#This Row],[WHRS KW RECOVERED PER DAY]]&lt;&gt;0,Table1[[#This Row],[WHRS RH]]&lt;&gt;0),ROUND(Table1[[#This Row],[WHRS KW RECOVERED PER DAY]]/Table1[[#This Row],[WHRS RH]],1))</f>
        <v>0</v>
      </c>
      <c r="Z282" s="8"/>
      <c r="AA282" s="1"/>
      <c r="AB282" s="1"/>
      <c r="AC282" s="1"/>
      <c r="AD282" s="1"/>
      <c r="AE282" s="1"/>
      <c r="AF282" s="1" t="str">
        <f t="shared" si="14"/>
        <v/>
      </c>
      <c r="AG282" s="1" t="str">
        <f t="shared" si="15"/>
        <v/>
      </c>
      <c r="AH282" s="1" t="str">
        <f t="shared" si="16"/>
        <v/>
      </c>
      <c r="AI282" s="1" t="str">
        <f>IF(AH282="", "", SUM($AH$4:AH282))</f>
        <v/>
      </c>
      <c r="AJ282" s="9"/>
    </row>
    <row r="283" spans="1:36">
      <c r="A283" s="7"/>
      <c r="W283" s="1" t="str">
        <f>IF(Table1[[#This Row],[WHRS NET KW TOTAL]]="","", Table1[[#This Row],[WHRS NET KW TOTAL]]-U282)</f>
        <v/>
      </c>
      <c r="X283" s="6">
        <f>Table1[[#This Row],[WHRS  KW TOTAL]]-V282</f>
        <v>0</v>
      </c>
      <c r="Y283" s="6" t="b">
        <f>IF(AND(Table1[[#This Row],[WHRS KW RECOVERED PER DAY]]&lt;&gt;0,Table1[[#This Row],[WHRS RH]]&lt;&gt;0),ROUND(Table1[[#This Row],[WHRS KW RECOVERED PER DAY]]/Table1[[#This Row],[WHRS RH]],1))</f>
        <v>0</v>
      </c>
      <c r="Z283" s="8"/>
      <c r="AA283" s="1"/>
      <c r="AB283" s="1"/>
      <c r="AC283" s="1"/>
      <c r="AD283" s="1"/>
      <c r="AE283" s="1"/>
      <c r="AF283" s="1" t="str">
        <f t="shared" si="14"/>
        <v/>
      </c>
      <c r="AG283" s="1" t="str">
        <f t="shared" si="15"/>
        <v/>
      </c>
      <c r="AH283" s="1" t="str">
        <f t="shared" si="16"/>
        <v/>
      </c>
      <c r="AI283" s="1" t="str">
        <f>IF(AH283="", "", SUM($AH$4:AH283))</f>
        <v/>
      </c>
      <c r="AJ283" s="9"/>
    </row>
    <row r="284" spans="1:36">
      <c r="A284" s="7"/>
      <c r="W284" s="1" t="str">
        <f>IF(Table1[[#This Row],[WHRS NET KW TOTAL]]="","", Table1[[#This Row],[WHRS NET KW TOTAL]]-U283)</f>
        <v/>
      </c>
      <c r="X284" s="6">
        <f>Table1[[#This Row],[WHRS  KW TOTAL]]-V283</f>
        <v>0</v>
      </c>
      <c r="Y284" s="6" t="b">
        <f>IF(AND(Table1[[#This Row],[WHRS KW RECOVERED PER DAY]]&lt;&gt;0,Table1[[#This Row],[WHRS RH]]&lt;&gt;0),ROUND(Table1[[#This Row],[WHRS KW RECOVERED PER DAY]]/Table1[[#This Row],[WHRS RH]],1))</f>
        <v>0</v>
      </c>
      <c r="Z284" s="8"/>
      <c r="AA284" s="1"/>
      <c r="AB284" s="1"/>
      <c r="AC284" s="1"/>
      <c r="AD284" s="1"/>
      <c r="AE284" s="1"/>
      <c r="AF284" s="1" t="str">
        <f t="shared" si="14"/>
        <v/>
      </c>
      <c r="AG284" s="1" t="str">
        <f t="shared" si="15"/>
        <v/>
      </c>
      <c r="AH284" s="1" t="str">
        <f t="shared" si="16"/>
        <v/>
      </c>
      <c r="AI284" s="1" t="str">
        <f>IF(AH284="", "", SUM($AH$4:AH284))</f>
        <v/>
      </c>
      <c r="AJ284" s="9"/>
    </row>
    <row r="285" spans="1:36">
      <c r="A285" s="7"/>
      <c r="W285" s="1" t="str">
        <f>IF(Table1[[#This Row],[WHRS NET KW TOTAL]]="","", Table1[[#This Row],[WHRS NET KW TOTAL]]-U284)</f>
        <v/>
      </c>
      <c r="X285" s="6">
        <f>Table1[[#This Row],[WHRS  KW TOTAL]]-V284</f>
        <v>0</v>
      </c>
      <c r="Y285" s="6" t="b">
        <f>IF(AND(Table1[[#This Row],[WHRS KW RECOVERED PER DAY]]&lt;&gt;0,Table1[[#This Row],[WHRS RH]]&lt;&gt;0),ROUND(Table1[[#This Row],[WHRS KW RECOVERED PER DAY]]/Table1[[#This Row],[WHRS RH]],1))</f>
        <v>0</v>
      </c>
      <c r="Z285" s="8"/>
      <c r="AA285" s="1"/>
      <c r="AB285" s="1"/>
      <c r="AC285" s="1"/>
      <c r="AD285" s="1"/>
      <c r="AE285" s="1"/>
      <c r="AF285" s="1" t="str">
        <f t="shared" si="14"/>
        <v/>
      </c>
      <c r="AG285" s="1" t="str">
        <f t="shared" si="15"/>
        <v/>
      </c>
      <c r="AH285" s="1" t="str">
        <f t="shared" si="16"/>
        <v/>
      </c>
      <c r="AI285" s="1" t="str">
        <f>IF(AH285="", "", SUM($AH$4:AH285))</f>
        <v/>
      </c>
      <c r="AJ285" s="9"/>
    </row>
    <row r="286" spans="1:36">
      <c r="A286" s="7"/>
      <c r="W286" s="1" t="str">
        <f>IF(Table1[[#This Row],[WHRS NET KW TOTAL]]="","", Table1[[#This Row],[WHRS NET KW TOTAL]]-U285)</f>
        <v/>
      </c>
      <c r="X286" s="6">
        <f>Table1[[#This Row],[WHRS  KW TOTAL]]-V285</f>
        <v>0</v>
      </c>
      <c r="Y286" s="6" t="b">
        <f>IF(AND(Table1[[#This Row],[WHRS KW RECOVERED PER DAY]]&lt;&gt;0,Table1[[#This Row],[WHRS RH]]&lt;&gt;0),ROUND(Table1[[#This Row],[WHRS KW RECOVERED PER DAY]]/Table1[[#This Row],[WHRS RH]],1))</f>
        <v>0</v>
      </c>
      <c r="Z286" s="8"/>
      <c r="AA286" s="1"/>
      <c r="AB286" s="1"/>
      <c r="AC286" s="1"/>
      <c r="AD286" s="1"/>
      <c r="AE286" s="1"/>
      <c r="AF286" s="1" t="str">
        <f t="shared" si="14"/>
        <v/>
      </c>
      <c r="AG286" s="1" t="str">
        <f t="shared" si="15"/>
        <v/>
      </c>
      <c r="AH286" s="1" t="str">
        <f t="shared" si="16"/>
        <v/>
      </c>
      <c r="AI286" s="1" t="str">
        <f>IF(AH286="", "", SUM($AH$4:AH286))</f>
        <v/>
      </c>
      <c r="AJ286" s="9"/>
    </row>
    <row r="287" spans="1:36">
      <c r="A287" s="7"/>
      <c r="W287" s="1" t="str">
        <f>IF(Table1[[#This Row],[WHRS NET KW TOTAL]]="","", Table1[[#This Row],[WHRS NET KW TOTAL]]-U286)</f>
        <v/>
      </c>
      <c r="X287" s="6">
        <f>Table1[[#This Row],[WHRS  KW TOTAL]]-V286</f>
        <v>0</v>
      </c>
      <c r="Y287" s="6" t="b">
        <f>IF(AND(Table1[[#This Row],[WHRS KW RECOVERED PER DAY]]&lt;&gt;0,Table1[[#This Row],[WHRS RH]]&lt;&gt;0),ROUND(Table1[[#This Row],[WHRS KW RECOVERED PER DAY]]/Table1[[#This Row],[WHRS RH]],1))</f>
        <v>0</v>
      </c>
      <c r="Z287" s="8"/>
      <c r="AA287" s="1"/>
      <c r="AB287" s="1"/>
      <c r="AC287" s="1"/>
      <c r="AD287" s="1"/>
      <c r="AE287" s="1"/>
      <c r="AF287" s="1" t="str">
        <f t="shared" si="14"/>
        <v/>
      </c>
      <c r="AG287" s="1" t="str">
        <f t="shared" si="15"/>
        <v/>
      </c>
      <c r="AH287" s="1" t="str">
        <f t="shared" si="16"/>
        <v/>
      </c>
      <c r="AI287" s="1" t="str">
        <f>IF(AH287="", "", SUM($AH$4:AH287))</f>
        <v/>
      </c>
      <c r="AJ287" s="9"/>
    </row>
    <row r="288" spans="1:36">
      <c r="A288" s="7"/>
      <c r="W288" s="1" t="str">
        <f>IF(Table1[[#This Row],[WHRS NET KW TOTAL]]="","", Table1[[#This Row],[WHRS NET KW TOTAL]]-U287)</f>
        <v/>
      </c>
      <c r="X288" s="6">
        <f>Table1[[#This Row],[WHRS  KW TOTAL]]-V287</f>
        <v>0</v>
      </c>
      <c r="Y288" s="6" t="b">
        <f>IF(AND(Table1[[#This Row],[WHRS KW RECOVERED PER DAY]]&lt;&gt;0,Table1[[#This Row],[WHRS RH]]&lt;&gt;0),ROUND(Table1[[#This Row],[WHRS KW RECOVERED PER DAY]]/Table1[[#This Row],[WHRS RH]],1))</f>
        <v>0</v>
      </c>
      <c r="Z288" s="8"/>
      <c r="AA288" s="1"/>
      <c r="AB288" s="1"/>
      <c r="AC288" s="1"/>
      <c r="AD288" s="1"/>
      <c r="AE288" s="1"/>
      <c r="AF288" s="1" t="str">
        <f t="shared" si="14"/>
        <v/>
      </c>
      <c r="AG288" s="1" t="str">
        <f t="shared" si="15"/>
        <v/>
      </c>
      <c r="AH288" s="1" t="str">
        <f t="shared" si="16"/>
        <v/>
      </c>
      <c r="AI288" s="1" t="str">
        <f>IF(AH288="", "", SUM($AH$4:AH288))</f>
        <v/>
      </c>
      <c r="AJ288" s="9"/>
    </row>
    <row r="289" spans="1:36">
      <c r="A289" s="7"/>
      <c r="W289" s="1" t="str">
        <f>IF(Table1[[#This Row],[WHRS NET KW TOTAL]]="","", Table1[[#This Row],[WHRS NET KW TOTAL]]-U288)</f>
        <v/>
      </c>
      <c r="X289" s="6">
        <f>Table1[[#This Row],[WHRS  KW TOTAL]]-V288</f>
        <v>0</v>
      </c>
      <c r="Y289" s="6" t="b">
        <f>IF(AND(Table1[[#This Row],[WHRS KW RECOVERED PER DAY]]&lt;&gt;0,Table1[[#This Row],[WHRS RH]]&lt;&gt;0),ROUND(Table1[[#This Row],[WHRS KW RECOVERED PER DAY]]/Table1[[#This Row],[WHRS RH]],1))</f>
        <v>0</v>
      </c>
      <c r="Z289" s="8"/>
      <c r="AA289" s="1"/>
      <c r="AB289" s="1"/>
      <c r="AC289" s="1"/>
      <c r="AD289" s="1"/>
      <c r="AE289" s="1"/>
      <c r="AF289" s="1" t="str">
        <f t="shared" si="14"/>
        <v/>
      </c>
      <c r="AG289" s="1" t="str">
        <f t="shared" si="15"/>
        <v/>
      </c>
      <c r="AH289" s="1" t="str">
        <f t="shared" si="16"/>
        <v/>
      </c>
      <c r="AI289" s="1" t="str">
        <f>IF(AH289="", "", SUM($AH$4:AH289))</f>
        <v/>
      </c>
      <c r="AJ289" s="9"/>
    </row>
    <row r="290" spans="1:36">
      <c r="A290" s="7"/>
      <c r="W290" s="1" t="str">
        <f>IF(Table1[[#This Row],[WHRS NET KW TOTAL]]="","", Table1[[#This Row],[WHRS NET KW TOTAL]]-U289)</f>
        <v/>
      </c>
      <c r="X290" s="6">
        <f>Table1[[#This Row],[WHRS  KW TOTAL]]-V289</f>
        <v>0</v>
      </c>
      <c r="Y290" s="6" t="b">
        <f>IF(AND(Table1[[#This Row],[WHRS KW RECOVERED PER DAY]]&lt;&gt;0,Table1[[#This Row],[WHRS RH]]&lt;&gt;0),ROUND(Table1[[#This Row],[WHRS KW RECOVERED PER DAY]]/Table1[[#This Row],[WHRS RH]],1))</f>
        <v>0</v>
      </c>
      <c r="Z290" s="8"/>
      <c r="AA290" s="1"/>
      <c r="AB290" s="1"/>
      <c r="AC290" s="1"/>
      <c r="AD290" s="1"/>
      <c r="AE290" s="1"/>
      <c r="AF290" s="1" t="str">
        <f t="shared" si="14"/>
        <v/>
      </c>
      <c r="AG290" s="1" t="str">
        <f t="shared" si="15"/>
        <v/>
      </c>
      <c r="AH290" s="1" t="str">
        <f t="shared" si="16"/>
        <v/>
      </c>
      <c r="AI290" s="1" t="str">
        <f>IF(AH290="", "", SUM($AH$4:AH290))</f>
        <v/>
      </c>
      <c r="AJ290" s="9"/>
    </row>
    <row r="291" spans="1:36">
      <c r="A291" s="7"/>
      <c r="W291" s="1" t="str">
        <f>IF(Table1[[#This Row],[WHRS NET KW TOTAL]]="","", Table1[[#This Row],[WHRS NET KW TOTAL]]-U290)</f>
        <v/>
      </c>
      <c r="X291" s="6">
        <f>Table1[[#This Row],[WHRS  KW TOTAL]]-V290</f>
        <v>0</v>
      </c>
      <c r="Y291" s="6" t="b">
        <f>IF(AND(Table1[[#This Row],[WHRS KW RECOVERED PER DAY]]&lt;&gt;0,Table1[[#This Row],[WHRS RH]]&lt;&gt;0),ROUND(Table1[[#This Row],[WHRS KW RECOVERED PER DAY]]/Table1[[#This Row],[WHRS RH]],1))</f>
        <v>0</v>
      </c>
      <c r="Z291" s="8"/>
      <c r="AA291" s="1"/>
      <c r="AB291" s="1"/>
      <c r="AC291" s="1"/>
      <c r="AD291" s="1"/>
      <c r="AE291" s="1"/>
      <c r="AF291" s="1" t="str">
        <f t="shared" si="14"/>
        <v/>
      </c>
      <c r="AG291" s="1" t="str">
        <f t="shared" si="15"/>
        <v/>
      </c>
      <c r="AH291" s="1" t="str">
        <f t="shared" si="16"/>
        <v/>
      </c>
      <c r="AI291" s="1" t="str">
        <f>IF(AH291="", "", SUM($AH$4:AH291))</f>
        <v/>
      </c>
      <c r="AJ291" s="9"/>
    </row>
    <row r="292" spans="1:36">
      <c r="A292" s="7"/>
      <c r="W292" s="1" t="str">
        <f>IF(Table1[[#This Row],[WHRS NET KW TOTAL]]="","", Table1[[#This Row],[WHRS NET KW TOTAL]]-U291)</f>
        <v/>
      </c>
      <c r="X292" s="6">
        <f>Table1[[#This Row],[WHRS  KW TOTAL]]-V291</f>
        <v>0</v>
      </c>
      <c r="Y292" s="6" t="b">
        <f>IF(AND(Table1[[#This Row],[WHRS KW RECOVERED PER DAY]]&lt;&gt;0,Table1[[#This Row],[WHRS RH]]&lt;&gt;0),ROUND(Table1[[#This Row],[WHRS KW RECOVERED PER DAY]]/Table1[[#This Row],[WHRS RH]],1))</f>
        <v>0</v>
      </c>
      <c r="Z292" s="8"/>
      <c r="AA292" s="1"/>
      <c r="AB292" s="1"/>
      <c r="AC292" s="1"/>
      <c r="AD292" s="1"/>
      <c r="AE292" s="1"/>
      <c r="AF292" s="1" t="str">
        <f t="shared" si="14"/>
        <v/>
      </c>
      <c r="AG292" s="1" t="str">
        <f t="shared" si="15"/>
        <v/>
      </c>
      <c r="AH292" s="1" t="str">
        <f t="shared" si="16"/>
        <v/>
      </c>
      <c r="AI292" s="1" t="str">
        <f>IF(AH292="", "", SUM($AH$4:AH292))</f>
        <v/>
      </c>
      <c r="AJ292" s="9"/>
    </row>
    <row r="293" spans="1:36">
      <c r="A293" s="7"/>
      <c r="W293" s="1" t="str">
        <f>IF(Table1[[#This Row],[WHRS NET KW TOTAL]]="","", Table1[[#This Row],[WHRS NET KW TOTAL]]-U292)</f>
        <v/>
      </c>
      <c r="X293" s="6">
        <f>Table1[[#This Row],[WHRS  KW TOTAL]]-V292</f>
        <v>0</v>
      </c>
      <c r="Y293" s="6" t="b">
        <f>IF(AND(Table1[[#This Row],[WHRS KW RECOVERED PER DAY]]&lt;&gt;0,Table1[[#This Row],[WHRS RH]]&lt;&gt;0),ROUND(Table1[[#This Row],[WHRS KW RECOVERED PER DAY]]/Table1[[#This Row],[WHRS RH]],1))</f>
        <v>0</v>
      </c>
      <c r="Z293" s="8"/>
      <c r="AA293" s="1"/>
      <c r="AB293" s="1"/>
      <c r="AC293" s="1"/>
      <c r="AD293" s="1"/>
      <c r="AE293" s="1"/>
      <c r="AF293" s="1" t="str">
        <f t="shared" si="14"/>
        <v/>
      </c>
      <c r="AG293" s="1" t="str">
        <f t="shared" si="15"/>
        <v/>
      </c>
      <c r="AH293" s="1" t="str">
        <f t="shared" si="16"/>
        <v/>
      </c>
      <c r="AI293" s="1" t="str">
        <f>IF(AH293="", "", SUM($AH$4:AH293))</f>
        <v/>
      </c>
      <c r="AJ293" s="9"/>
    </row>
    <row r="294" spans="1:36">
      <c r="A294" s="7"/>
      <c r="W294" s="1" t="str">
        <f>IF(Table1[[#This Row],[WHRS NET KW TOTAL]]="","", Table1[[#This Row],[WHRS NET KW TOTAL]]-U293)</f>
        <v/>
      </c>
      <c r="X294" s="6">
        <f>Table1[[#This Row],[WHRS  KW TOTAL]]-V293</f>
        <v>0</v>
      </c>
      <c r="Y294" s="6" t="b">
        <f>IF(AND(Table1[[#This Row],[WHRS KW RECOVERED PER DAY]]&lt;&gt;0,Table1[[#This Row],[WHRS RH]]&lt;&gt;0),ROUND(Table1[[#This Row],[WHRS KW RECOVERED PER DAY]]/Table1[[#This Row],[WHRS RH]],1))</f>
        <v>0</v>
      </c>
      <c r="Z294" s="8"/>
      <c r="AA294" s="1"/>
      <c r="AB294" s="1"/>
      <c r="AC294" s="1"/>
      <c r="AD294" s="1"/>
      <c r="AE294" s="1"/>
      <c r="AF294" s="1" t="str">
        <f t="shared" si="14"/>
        <v/>
      </c>
      <c r="AG294" s="1" t="str">
        <f t="shared" si="15"/>
        <v/>
      </c>
      <c r="AH294" s="1" t="str">
        <f t="shared" si="16"/>
        <v/>
      </c>
      <c r="AI294" s="1" t="str">
        <f>IF(AH294="", "", SUM($AH$4:AH294))</f>
        <v/>
      </c>
      <c r="AJ294" s="9"/>
    </row>
    <row r="295" spans="1:36">
      <c r="A295" s="7"/>
      <c r="W295" s="1" t="str">
        <f>IF(Table1[[#This Row],[WHRS NET KW TOTAL]]="","", Table1[[#This Row],[WHRS NET KW TOTAL]]-U294)</f>
        <v/>
      </c>
      <c r="X295" s="6">
        <f>Table1[[#This Row],[WHRS  KW TOTAL]]-V294</f>
        <v>0</v>
      </c>
      <c r="Y295" s="6" t="b">
        <f>IF(AND(Table1[[#This Row],[WHRS KW RECOVERED PER DAY]]&lt;&gt;0,Table1[[#This Row],[WHRS RH]]&lt;&gt;0),ROUND(Table1[[#This Row],[WHRS KW RECOVERED PER DAY]]/Table1[[#This Row],[WHRS RH]],1))</f>
        <v>0</v>
      </c>
      <c r="Z295" s="8"/>
      <c r="AA295" s="1"/>
      <c r="AB295" s="1"/>
      <c r="AC295" s="1"/>
      <c r="AD295" s="1"/>
      <c r="AE295" s="1"/>
      <c r="AF295" s="1" t="str">
        <f t="shared" si="14"/>
        <v/>
      </c>
      <c r="AG295" s="1" t="str">
        <f t="shared" si="15"/>
        <v/>
      </c>
      <c r="AH295" s="1" t="str">
        <f t="shared" si="16"/>
        <v/>
      </c>
      <c r="AI295" s="1" t="str">
        <f>IF(AH295="", "", SUM($AH$4:AH295))</f>
        <v/>
      </c>
      <c r="AJ295" s="9"/>
    </row>
    <row r="296" spans="1:36">
      <c r="A296" s="7"/>
      <c r="W296" s="1" t="str">
        <f>IF(Table1[[#This Row],[WHRS NET KW TOTAL]]="","", Table1[[#This Row],[WHRS NET KW TOTAL]]-U295)</f>
        <v/>
      </c>
      <c r="X296" s="6">
        <f>Table1[[#This Row],[WHRS  KW TOTAL]]-V295</f>
        <v>0</v>
      </c>
      <c r="Y296" s="6" t="b">
        <f>IF(AND(Table1[[#This Row],[WHRS KW RECOVERED PER DAY]]&lt;&gt;0,Table1[[#This Row],[WHRS RH]]&lt;&gt;0),ROUND(Table1[[#This Row],[WHRS KW RECOVERED PER DAY]]/Table1[[#This Row],[WHRS RH]],1))</f>
        <v>0</v>
      </c>
      <c r="Z296" s="8"/>
      <c r="AA296" s="1"/>
      <c r="AB296" s="1"/>
      <c r="AC296" s="1"/>
      <c r="AD296" s="1"/>
      <c r="AE296" s="1"/>
      <c r="AF296" s="1" t="str">
        <f t="shared" si="14"/>
        <v/>
      </c>
      <c r="AG296" s="1" t="str">
        <f t="shared" si="15"/>
        <v/>
      </c>
      <c r="AH296" s="1" t="str">
        <f t="shared" si="16"/>
        <v/>
      </c>
      <c r="AI296" s="1" t="str">
        <f>IF(AH296="", "", SUM($AH$4:AH296))</f>
        <v/>
      </c>
      <c r="AJ296" s="9"/>
    </row>
    <row r="297" spans="1:36">
      <c r="A297" s="7"/>
      <c r="W297" s="1" t="str">
        <f>IF(Table1[[#This Row],[WHRS NET KW TOTAL]]="","", Table1[[#This Row],[WHRS NET KW TOTAL]]-U296)</f>
        <v/>
      </c>
      <c r="X297" s="6">
        <f>Table1[[#This Row],[WHRS  KW TOTAL]]-V296</f>
        <v>0</v>
      </c>
      <c r="Y297" s="6" t="b">
        <f>IF(AND(Table1[[#This Row],[WHRS KW RECOVERED PER DAY]]&lt;&gt;0,Table1[[#This Row],[WHRS RH]]&lt;&gt;0),ROUND(Table1[[#This Row],[WHRS KW RECOVERED PER DAY]]/Table1[[#This Row],[WHRS RH]],1))</f>
        <v>0</v>
      </c>
      <c r="Z297" s="8"/>
      <c r="AA297" s="1"/>
      <c r="AB297" s="1"/>
      <c r="AC297" s="1"/>
      <c r="AD297" s="1"/>
      <c r="AE297" s="1"/>
      <c r="AF297" s="1" t="str">
        <f t="shared" si="14"/>
        <v/>
      </c>
      <c r="AG297" s="1" t="str">
        <f t="shared" si="15"/>
        <v/>
      </c>
      <c r="AH297" s="1" t="str">
        <f t="shared" si="16"/>
        <v/>
      </c>
      <c r="AI297" s="1" t="str">
        <f>IF(AH297="", "", SUM($AH$4:AH297))</f>
        <v/>
      </c>
      <c r="AJ297" s="9"/>
    </row>
    <row r="298" spans="1:36">
      <c r="A298" s="7"/>
      <c r="W298" s="1" t="str">
        <f>IF(Table1[[#This Row],[WHRS NET KW TOTAL]]="","", Table1[[#This Row],[WHRS NET KW TOTAL]]-U297)</f>
        <v/>
      </c>
      <c r="X298" s="6">
        <f>Table1[[#This Row],[WHRS  KW TOTAL]]-V297</f>
        <v>0</v>
      </c>
      <c r="Y298" s="6" t="b">
        <f>IF(AND(Table1[[#This Row],[WHRS KW RECOVERED PER DAY]]&lt;&gt;0,Table1[[#This Row],[WHRS RH]]&lt;&gt;0),ROUND(Table1[[#This Row],[WHRS KW RECOVERED PER DAY]]/Table1[[#This Row],[WHRS RH]],1))</f>
        <v>0</v>
      </c>
      <c r="Z298" s="8"/>
      <c r="AA298" s="1"/>
      <c r="AB298" s="1"/>
      <c r="AC298" s="1"/>
      <c r="AD298" s="1"/>
      <c r="AE298" s="1"/>
      <c r="AF298" s="1" t="str">
        <f t="shared" si="14"/>
        <v/>
      </c>
      <c r="AG298" s="1" t="str">
        <f t="shared" si="15"/>
        <v/>
      </c>
      <c r="AH298" s="1" t="str">
        <f t="shared" si="16"/>
        <v/>
      </c>
      <c r="AI298" s="1" t="str">
        <f>IF(AH298="", "", SUM($AH$4:AH298))</f>
        <v/>
      </c>
      <c r="AJ298" s="9"/>
    </row>
    <row r="299" spans="1:36">
      <c r="A299" s="7"/>
      <c r="W299" s="1" t="str">
        <f>IF(Table1[[#This Row],[WHRS NET KW TOTAL]]="","", Table1[[#This Row],[WHRS NET KW TOTAL]]-U298)</f>
        <v/>
      </c>
      <c r="X299" s="6">
        <f>Table1[[#This Row],[WHRS  KW TOTAL]]-V298</f>
        <v>0</v>
      </c>
      <c r="Y299" s="6" t="b">
        <f>IF(AND(Table1[[#This Row],[WHRS KW RECOVERED PER DAY]]&lt;&gt;0,Table1[[#This Row],[WHRS RH]]&lt;&gt;0),ROUND(Table1[[#This Row],[WHRS KW RECOVERED PER DAY]]/Table1[[#This Row],[WHRS RH]],1))</f>
        <v>0</v>
      </c>
      <c r="Z299" s="8"/>
      <c r="AA299" s="1"/>
      <c r="AB299" s="1"/>
      <c r="AC299" s="1"/>
      <c r="AD299" s="1"/>
      <c r="AE299" s="1"/>
      <c r="AF299" s="1" t="str">
        <f t="shared" si="14"/>
        <v/>
      </c>
      <c r="AG299" s="1" t="str">
        <f t="shared" si="15"/>
        <v/>
      </c>
      <c r="AH299" s="1" t="str">
        <f t="shared" si="16"/>
        <v/>
      </c>
      <c r="AI299" s="1" t="str">
        <f>IF(AH299="", "", SUM($AH$4:AH299))</f>
        <v/>
      </c>
      <c r="AJ299" s="9"/>
    </row>
    <row r="300" spans="1:36">
      <c r="A300" s="7"/>
      <c r="W300" s="1" t="str">
        <f>IF(Table1[[#This Row],[WHRS NET KW TOTAL]]="","", Table1[[#This Row],[WHRS NET KW TOTAL]]-U299)</f>
        <v/>
      </c>
      <c r="X300" s="6">
        <f>Table1[[#This Row],[WHRS  KW TOTAL]]-V299</f>
        <v>0</v>
      </c>
      <c r="Y300" s="6" t="b">
        <f>IF(AND(Table1[[#This Row],[WHRS KW RECOVERED PER DAY]]&lt;&gt;0,Table1[[#This Row],[WHRS RH]]&lt;&gt;0),ROUND(Table1[[#This Row],[WHRS KW RECOVERED PER DAY]]/Table1[[#This Row],[WHRS RH]],1))</f>
        <v>0</v>
      </c>
      <c r="Z300" s="8"/>
      <c r="AA300" s="1"/>
      <c r="AB300" s="1"/>
      <c r="AC300" s="1"/>
      <c r="AD300" s="1"/>
      <c r="AE300" s="1"/>
      <c r="AF300" s="1" t="str">
        <f t="shared" si="14"/>
        <v/>
      </c>
      <c r="AG300" s="1" t="str">
        <f t="shared" si="15"/>
        <v/>
      </c>
      <c r="AH300" s="1" t="str">
        <f t="shared" si="16"/>
        <v/>
      </c>
      <c r="AI300" s="1" t="str">
        <f>IF(AH300="", "", SUM($AH$4:AH300))</f>
        <v/>
      </c>
      <c r="AJ300" s="9"/>
    </row>
    <row r="301" spans="1:36">
      <c r="A301" s="7"/>
      <c r="W301" s="1" t="str">
        <f>IF(Table1[[#This Row],[WHRS NET KW TOTAL]]="","", Table1[[#This Row],[WHRS NET KW TOTAL]]-U300)</f>
        <v/>
      </c>
      <c r="X301" s="6">
        <f>Table1[[#This Row],[WHRS  KW TOTAL]]-V300</f>
        <v>0</v>
      </c>
      <c r="Y301" s="6" t="b">
        <f>IF(AND(Table1[[#This Row],[WHRS KW RECOVERED PER DAY]]&lt;&gt;0,Table1[[#This Row],[WHRS RH]]&lt;&gt;0),ROUND(Table1[[#This Row],[WHRS KW RECOVERED PER DAY]]/Table1[[#This Row],[WHRS RH]],1))</f>
        <v>0</v>
      </c>
      <c r="Z301" s="8"/>
      <c r="AA301" s="1"/>
      <c r="AB301" s="1"/>
      <c r="AC301" s="1"/>
      <c r="AD301" s="1"/>
      <c r="AE301" s="1"/>
      <c r="AF301" s="1" t="str">
        <f t="shared" si="14"/>
        <v/>
      </c>
      <c r="AG301" s="1" t="str">
        <f t="shared" si="15"/>
        <v/>
      </c>
      <c r="AH301" s="1" t="str">
        <f t="shared" si="16"/>
        <v/>
      </c>
      <c r="AI301" s="1" t="str">
        <f>IF(AH301="", "", SUM($AH$4:AH301))</f>
        <v/>
      </c>
      <c r="AJ301" s="9"/>
    </row>
    <row r="302" spans="1:36">
      <c r="A302" s="7"/>
      <c r="W302" s="1" t="str">
        <f>IF(Table1[[#This Row],[WHRS NET KW TOTAL]]="","", Table1[[#This Row],[WHRS NET KW TOTAL]]-U301)</f>
        <v/>
      </c>
      <c r="X302" s="6">
        <f>Table1[[#This Row],[WHRS  KW TOTAL]]-V301</f>
        <v>0</v>
      </c>
      <c r="Y302" s="6" t="b">
        <f>IF(AND(Table1[[#This Row],[WHRS KW RECOVERED PER DAY]]&lt;&gt;0,Table1[[#This Row],[WHRS RH]]&lt;&gt;0),ROUND(Table1[[#This Row],[WHRS KW RECOVERED PER DAY]]/Table1[[#This Row],[WHRS RH]],1))</f>
        <v>0</v>
      </c>
      <c r="Z302" s="8"/>
      <c r="AA302" s="1"/>
      <c r="AB302" s="1"/>
      <c r="AC302" s="1"/>
      <c r="AD302" s="1"/>
      <c r="AE302" s="1"/>
      <c r="AF302" s="1" t="str">
        <f t="shared" si="14"/>
        <v/>
      </c>
      <c r="AG302" s="1" t="str">
        <f t="shared" si="15"/>
        <v/>
      </c>
      <c r="AH302" s="1" t="str">
        <f t="shared" si="16"/>
        <v/>
      </c>
      <c r="AI302" s="1" t="str">
        <f>IF(AH302="", "", SUM($AH$4:AH302))</f>
        <v/>
      </c>
      <c r="AJ302" s="9"/>
    </row>
    <row r="303" spans="1:36">
      <c r="A303" s="7"/>
      <c r="W303" s="1" t="str">
        <f>IF(Table1[[#This Row],[WHRS NET KW TOTAL]]="","", Table1[[#This Row],[WHRS NET KW TOTAL]]-U302)</f>
        <v/>
      </c>
      <c r="X303" s="6">
        <f>Table1[[#This Row],[WHRS  KW TOTAL]]-V302</f>
        <v>0</v>
      </c>
      <c r="Y303" s="6" t="b">
        <f>IF(AND(Table1[[#This Row],[WHRS KW RECOVERED PER DAY]]&lt;&gt;0,Table1[[#This Row],[WHRS RH]]&lt;&gt;0),ROUND(Table1[[#This Row],[WHRS KW RECOVERED PER DAY]]/Table1[[#This Row],[WHRS RH]],1))</f>
        <v>0</v>
      </c>
      <c r="Z303" s="8"/>
      <c r="AA303" s="1"/>
      <c r="AB303" s="1"/>
      <c r="AC303" s="1"/>
      <c r="AD303" s="1"/>
      <c r="AE303" s="1"/>
      <c r="AF303" s="1" t="str">
        <f t="shared" si="14"/>
        <v/>
      </c>
      <c r="AG303" s="1" t="str">
        <f t="shared" si="15"/>
        <v/>
      </c>
      <c r="AH303" s="1" t="str">
        <f t="shared" si="16"/>
        <v/>
      </c>
      <c r="AI303" s="1" t="str">
        <f>IF(AH303="", "", SUM($AH$4:AH303))</f>
        <v/>
      </c>
      <c r="AJ303" s="9"/>
    </row>
    <row r="304" spans="1:36">
      <c r="A304" s="7"/>
      <c r="W304" s="1" t="str">
        <f>IF(Table1[[#This Row],[WHRS NET KW TOTAL]]="","", Table1[[#This Row],[WHRS NET KW TOTAL]]-U303)</f>
        <v/>
      </c>
      <c r="X304" s="6">
        <f>Table1[[#This Row],[WHRS  KW TOTAL]]-V303</f>
        <v>0</v>
      </c>
      <c r="Y304" s="6" t="b">
        <f>IF(AND(Table1[[#This Row],[WHRS KW RECOVERED PER DAY]]&lt;&gt;0,Table1[[#This Row],[WHRS RH]]&lt;&gt;0),ROUND(Table1[[#This Row],[WHRS KW RECOVERED PER DAY]]/Table1[[#This Row],[WHRS RH]],1))</f>
        <v>0</v>
      </c>
      <c r="Z304" s="8"/>
      <c r="AA304" s="1"/>
      <c r="AB304" s="1"/>
      <c r="AC304" s="1"/>
      <c r="AD304" s="1"/>
      <c r="AE304" s="1"/>
      <c r="AF304" s="1" t="str">
        <f t="shared" si="14"/>
        <v/>
      </c>
      <c r="AG304" s="1" t="str">
        <f t="shared" si="15"/>
        <v/>
      </c>
      <c r="AH304" s="1" t="str">
        <f t="shared" si="16"/>
        <v/>
      </c>
      <c r="AI304" s="1" t="str">
        <f>IF(AH304="", "", SUM($AH$4:AH304))</f>
        <v/>
      </c>
      <c r="AJ304" s="9"/>
    </row>
    <row r="305" spans="1:36">
      <c r="A305" s="7"/>
      <c r="W305" s="1" t="str">
        <f>IF(Table1[[#This Row],[WHRS NET KW TOTAL]]="","", Table1[[#This Row],[WHRS NET KW TOTAL]]-U304)</f>
        <v/>
      </c>
      <c r="X305" s="6">
        <f>Table1[[#This Row],[WHRS  KW TOTAL]]-V304</f>
        <v>0</v>
      </c>
      <c r="Y305" s="6" t="b">
        <f>IF(AND(Table1[[#This Row],[WHRS KW RECOVERED PER DAY]]&lt;&gt;0,Table1[[#This Row],[WHRS RH]]&lt;&gt;0),ROUND(Table1[[#This Row],[WHRS KW RECOVERED PER DAY]]/Table1[[#This Row],[WHRS RH]],1))</f>
        <v>0</v>
      </c>
      <c r="Z305" s="8"/>
      <c r="AA305" s="1"/>
      <c r="AB305" s="1"/>
      <c r="AC305" s="1"/>
      <c r="AD305" s="1"/>
      <c r="AE305" s="1"/>
      <c r="AF305" s="1" t="str">
        <f t="shared" si="14"/>
        <v/>
      </c>
      <c r="AG305" s="1" t="str">
        <f t="shared" si="15"/>
        <v/>
      </c>
      <c r="AH305" s="1" t="str">
        <f t="shared" si="16"/>
        <v/>
      </c>
      <c r="AI305" s="1" t="str">
        <f>IF(AH305="", "", SUM($AH$4:AH305))</f>
        <v/>
      </c>
      <c r="AJ305" s="9"/>
    </row>
    <row r="306" spans="1:36">
      <c r="A306" s="7"/>
      <c r="W306" s="1" t="str">
        <f>IF(Table1[[#This Row],[WHRS NET KW TOTAL]]="","", Table1[[#This Row],[WHRS NET KW TOTAL]]-U305)</f>
        <v/>
      </c>
      <c r="X306" s="6">
        <f>Table1[[#This Row],[WHRS  KW TOTAL]]-V305</f>
        <v>0</v>
      </c>
      <c r="Y306" s="6" t="b">
        <f>IF(AND(Table1[[#This Row],[WHRS KW RECOVERED PER DAY]]&lt;&gt;0,Table1[[#This Row],[WHRS RH]]&lt;&gt;0),ROUND(Table1[[#This Row],[WHRS KW RECOVERED PER DAY]]/Table1[[#This Row],[WHRS RH]],1))</f>
        <v>0</v>
      </c>
      <c r="Z306" s="8"/>
      <c r="AA306" s="1"/>
      <c r="AB306" s="1"/>
      <c r="AC306" s="1"/>
      <c r="AD306" s="1"/>
      <c r="AE306" s="1"/>
      <c r="AF306" s="1" t="str">
        <f t="shared" si="14"/>
        <v/>
      </c>
      <c r="AG306" s="1" t="str">
        <f t="shared" si="15"/>
        <v/>
      </c>
      <c r="AH306" s="1" t="str">
        <f t="shared" si="16"/>
        <v/>
      </c>
      <c r="AI306" s="1" t="str">
        <f>IF(AH306="", "", SUM($AH$4:AH306))</f>
        <v/>
      </c>
      <c r="AJ306" s="9"/>
    </row>
    <row r="307" spans="1:36">
      <c r="A307" s="7"/>
      <c r="W307" s="1" t="str">
        <f>IF(Table1[[#This Row],[WHRS NET KW TOTAL]]="","", Table1[[#This Row],[WHRS NET KW TOTAL]]-U306)</f>
        <v/>
      </c>
      <c r="X307" s="6">
        <f>Table1[[#This Row],[WHRS  KW TOTAL]]-V306</f>
        <v>0</v>
      </c>
      <c r="Y307" s="6" t="b">
        <f>IF(AND(Table1[[#This Row],[WHRS KW RECOVERED PER DAY]]&lt;&gt;0,Table1[[#This Row],[WHRS RH]]&lt;&gt;0),ROUND(Table1[[#This Row],[WHRS KW RECOVERED PER DAY]]/Table1[[#This Row],[WHRS RH]],1))</f>
        <v>0</v>
      </c>
      <c r="Z307" s="8"/>
      <c r="AA307" s="1"/>
      <c r="AB307" s="1"/>
      <c r="AC307" s="1"/>
      <c r="AD307" s="1"/>
      <c r="AE307" s="1"/>
      <c r="AF307" s="1" t="str">
        <f t="shared" si="14"/>
        <v/>
      </c>
      <c r="AG307" s="1" t="str">
        <f t="shared" si="15"/>
        <v/>
      </c>
      <c r="AH307" s="1" t="str">
        <f t="shared" si="16"/>
        <v/>
      </c>
      <c r="AI307" s="1" t="str">
        <f>IF(AH307="", "", SUM($AH$4:AH307))</f>
        <v/>
      </c>
      <c r="AJ307" s="9"/>
    </row>
    <row r="308" spans="1:36">
      <c r="A308" s="7"/>
      <c r="W308" s="1" t="str">
        <f>IF(Table1[[#This Row],[WHRS NET KW TOTAL]]="","", Table1[[#This Row],[WHRS NET KW TOTAL]]-U307)</f>
        <v/>
      </c>
      <c r="X308" s="6">
        <f>Table1[[#This Row],[WHRS  KW TOTAL]]-V307</f>
        <v>0</v>
      </c>
      <c r="Y308" s="6" t="b">
        <f>IF(AND(Table1[[#This Row],[WHRS KW RECOVERED PER DAY]]&lt;&gt;0,Table1[[#This Row],[WHRS RH]]&lt;&gt;0),ROUND(Table1[[#This Row],[WHRS KW RECOVERED PER DAY]]/Table1[[#This Row],[WHRS RH]],1))</f>
        <v>0</v>
      </c>
      <c r="Z308" s="8"/>
      <c r="AA308" s="1"/>
      <c r="AB308" s="1"/>
      <c r="AC308" s="1"/>
      <c r="AD308" s="1"/>
      <c r="AE308" s="1"/>
      <c r="AF308" s="1" t="str">
        <f t="shared" si="14"/>
        <v/>
      </c>
      <c r="AG308" s="1" t="str">
        <f t="shared" si="15"/>
        <v/>
      </c>
      <c r="AH308" s="1" t="str">
        <f t="shared" si="16"/>
        <v/>
      </c>
      <c r="AI308" s="1" t="str">
        <f>IF(AH308="", "", SUM($AH$4:AH308))</f>
        <v/>
      </c>
      <c r="AJ308" s="9"/>
    </row>
    <row r="309" spans="1:36">
      <c r="A309" s="7"/>
      <c r="W309" s="1" t="str">
        <f>IF(Table1[[#This Row],[WHRS NET KW TOTAL]]="","", Table1[[#This Row],[WHRS NET KW TOTAL]]-U308)</f>
        <v/>
      </c>
      <c r="X309" s="6">
        <f>Table1[[#This Row],[WHRS  KW TOTAL]]-V308</f>
        <v>0</v>
      </c>
      <c r="Y309" s="6" t="b">
        <f>IF(AND(Table1[[#This Row],[WHRS KW RECOVERED PER DAY]]&lt;&gt;0,Table1[[#This Row],[WHRS RH]]&lt;&gt;0),ROUND(Table1[[#This Row],[WHRS KW RECOVERED PER DAY]]/Table1[[#This Row],[WHRS RH]],1))</f>
        <v>0</v>
      </c>
      <c r="Z309" s="8"/>
      <c r="AA309" s="1"/>
      <c r="AB309" s="1"/>
      <c r="AC309" s="1"/>
      <c r="AD309" s="1"/>
      <c r="AE309" s="1"/>
      <c r="AF309" s="1" t="str">
        <f t="shared" si="14"/>
        <v/>
      </c>
      <c r="AG309" s="1" t="str">
        <f t="shared" si="15"/>
        <v/>
      </c>
      <c r="AH309" s="1" t="str">
        <f t="shared" si="16"/>
        <v/>
      </c>
      <c r="AI309" s="1" t="str">
        <f>IF(AH309="", "", SUM($AH$4:AH309))</f>
        <v/>
      </c>
      <c r="AJ309" s="9"/>
    </row>
    <row r="310" spans="1:36">
      <c r="A310" s="7"/>
      <c r="W310" s="1" t="str">
        <f>IF(Table1[[#This Row],[WHRS NET KW TOTAL]]="","", Table1[[#This Row],[WHRS NET KW TOTAL]]-U309)</f>
        <v/>
      </c>
      <c r="X310" s="6">
        <f>Table1[[#This Row],[WHRS  KW TOTAL]]-V309</f>
        <v>0</v>
      </c>
      <c r="Y310" s="6" t="b">
        <f>IF(AND(Table1[[#This Row],[WHRS KW RECOVERED PER DAY]]&lt;&gt;0,Table1[[#This Row],[WHRS RH]]&lt;&gt;0),ROUND(Table1[[#This Row],[WHRS KW RECOVERED PER DAY]]/Table1[[#This Row],[WHRS RH]],1))</f>
        <v>0</v>
      </c>
      <c r="Z310" s="8"/>
      <c r="AA310" s="1"/>
      <c r="AB310" s="1"/>
      <c r="AC310" s="1"/>
      <c r="AD310" s="1"/>
      <c r="AE310" s="1"/>
      <c r="AF310" s="1" t="str">
        <f t="shared" si="14"/>
        <v/>
      </c>
      <c r="AG310" s="1" t="str">
        <f t="shared" si="15"/>
        <v/>
      </c>
      <c r="AH310" s="1" t="str">
        <f t="shared" si="16"/>
        <v/>
      </c>
      <c r="AI310" s="1" t="str">
        <f>IF(AH310="", "", SUM($AH$4:AH310))</f>
        <v/>
      </c>
      <c r="AJ310" s="9"/>
    </row>
    <row r="311" spans="1:36">
      <c r="A311" s="7"/>
      <c r="W311" s="1" t="str">
        <f>IF(Table1[[#This Row],[WHRS NET KW TOTAL]]="","", Table1[[#This Row],[WHRS NET KW TOTAL]]-U310)</f>
        <v/>
      </c>
      <c r="X311" s="6">
        <f>Table1[[#This Row],[WHRS  KW TOTAL]]-V310</f>
        <v>0</v>
      </c>
      <c r="Y311" s="6" t="b">
        <f>IF(AND(Table1[[#This Row],[WHRS KW RECOVERED PER DAY]]&lt;&gt;0,Table1[[#This Row],[WHRS RH]]&lt;&gt;0),ROUND(Table1[[#This Row],[WHRS KW RECOVERED PER DAY]]/Table1[[#This Row],[WHRS RH]],1))</f>
        <v>0</v>
      </c>
      <c r="Z311" s="8"/>
      <c r="AA311" s="1"/>
      <c r="AB311" s="1"/>
      <c r="AC311" s="1"/>
      <c r="AD311" s="1"/>
      <c r="AE311" s="1"/>
      <c r="AF311" s="1" t="str">
        <f t="shared" si="14"/>
        <v/>
      </c>
      <c r="AG311" s="1" t="str">
        <f t="shared" si="15"/>
        <v/>
      </c>
      <c r="AH311" s="1" t="str">
        <f t="shared" si="16"/>
        <v/>
      </c>
      <c r="AI311" s="1" t="str">
        <f>IF(AH311="", "", SUM($AH$4:AH311))</f>
        <v/>
      </c>
      <c r="AJ311" s="9"/>
    </row>
    <row r="312" spans="1:36">
      <c r="A312" s="7"/>
      <c r="W312" s="1" t="str">
        <f>IF(Table1[[#This Row],[WHRS NET KW TOTAL]]="","", Table1[[#This Row],[WHRS NET KW TOTAL]]-U311)</f>
        <v/>
      </c>
      <c r="X312" s="6">
        <f>Table1[[#This Row],[WHRS  KW TOTAL]]-V311</f>
        <v>0</v>
      </c>
      <c r="Y312" s="6" t="b">
        <f>IF(AND(Table1[[#This Row],[WHRS KW RECOVERED PER DAY]]&lt;&gt;0,Table1[[#This Row],[WHRS RH]]&lt;&gt;0),ROUND(Table1[[#This Row],[WHRS KW RECOVERED PER DAY]]/Table1[[#This Row],[WHRS RH]],1))</f>
        <v>0</v>
      </c>
      <c r="Z312" s="8"/>
      <c r="AA312" s="1"/>
      <c r="AB312" s="1"/>
      <c r="AC312" s="1"/>
      <c r="AD312" s="1"/>
      <c r="AE312" s="1"/>
      <c r="AF312" s="1" t="str">
        <f t="shared" si="14"/>
        <v/>
      </c>
      <c r="AG312" s="1" t="str">
        <f t="shared" si="15"/>
        <v/>
      </c>
      <c r="AH312" s="1" t="str">
        <f t="shared" si="16"/>
        <v/>
      </c>
      <c r="AI312" s="1" t="str">
        <f>IF(AH312="", "", SUM($AH$4:AH312))</f>
        <v/>
      </c>
      <c r="AJ312" s="9"/>
    </row>
    <row r="313" spans="1:36">
      <c r="A313" s="7"/>
      <c r="W313" s="1" t="str">
        <f>IF(Table1[[#This Row],[WHRS NET KW TOTAL]]="","", Table1[[#This Row],[WHRS NET KW TOTAL]]-U312)</f>
        <v/>
      </c>
      <c r="X313" s="6">
        <f>Table1[[#This Row],[WHRS  KW TOTAL]]-V312</f>
        <v>0</v>
      </c>
      <c r="Y313" s="6" t="b">
        <f>IF(AND(Table1[[#This Row],[WHRS KW RECOVERED PER DAY]]&lt;&gt;0,Table1[[#This Row],[WHRS RH]]&lt;&gt;0),ROUND(Table1[[#This Row],[WHRS KW RECOVERED PER DAY]]/Table1[[#This Row],[WHRS RH]],1))</f>
        <v>0</v>
      </c>
      <c r="Z313" s="8"/>
      <c r="AA313" s="1"/>
      <c r="AB313" s="1"/>
      <c r="AC313" s="1"/>
      <c r="AD313" s="1"/>
      <c r="AE313" s="1"/>
      <c r="AF313" s="1" t="str">
        <f t="shared" si="14"/>
        <v/>
      </c>
      <c r="AG313" s="1" t="str">
        <f t="shared" si="15"/>
        <v/>
      </c>
      <c r="AH313" s="1" t="str">
        <f t="shared" si="16"/>
        <v/>
      </c>
      <c r="AI313" s="1" t="str">
        <f>IF(AH313="", "", SUM($AH$4:AH313))</f>
        <v/>
      </c>
      <c r="AJ313" s="9"/>
    </row>
    <row r="314" spans="1:36">
      <c r="A314" s="7"/>
      <c r="W314" s="1" t="str">
        <f>IF(Table1[[#This Row],[WHRS NET KW TOTAL]]="","", Table1[[#This Row],[WHRS NET KW TOTAL]]-U313)</f>
        <v/>
      </c>
      <c r="X314" s="6">
        <f>Table1[[#This Row],[WHRS  KW TOTAL]]-V313</f>
        <v>0</v>
      </c>
      <c r="Y314" s="6" t="b">
        <f>IF(AND(Table1[[#This Row],[WHRS KW RECOVERED PER DAY]]&lt;&gt;0,Table1[[#This Row],[WHRS RH]]&lt;&gt;0),ROUND(Table1[[#This Row],[WHRS KW RECOVERED PER DAY]]/Table1[[#This Row],[WHRS RH]],1))</f>
        <v>0</v>
      </c>
      <c r="Z314" s="8"/>
      <c r="AA314" s="1"/>
      <c r="AB314" s="1"/>
      <c r="AC314" s="1"/>
      <c r="AD314" s="1"/>
      <c r="AE314" s="1"/>
      <c r="AF314" s="1" t="str">
        <f t="shared" si="14"/>
        <v/>
      </c>
      <c r="AG314" s="1" t="str">
        <f t="shared" si="15"/>
        <v/>
      </c>
      <c r="AH314" s="1" t="str">
        <f t="shared" si="16"/>
        <v/>
      </c>
      <c r="AI314" s="1" t="str">
        <f>IF(AH314="", "", SUM($AH$4:AH314))</f>
        <v/>
      </c>
      <c r="AJ314" s="9"/>
    </row>
    <row r="315" spans="1:36">
      <c r="A315" s="7"/>
      <c r="W315" s="1" t="str">
        <f>IF(Table1[[#This Row],[WHRS NET KW TOTAL]]="","", Table1[[#This Row],[WHRS NET KW TOTAL]]-U314)</f>
        <v/>
      </c>
      <c r="X315" s="6">
        <f>Table1[[#This Row],[WHRS  KW TOTAL]]-V314</f>
        <v>0</v>
      </c>
      <c r="Y315" s="6" t="b">
        <f>IF(AND(Table1[[#This Row],[WHRS KW RECOVERED PER DAY]]&lt;&gt;0,Table1[[#This Row],[WHRS RH]]&lt;&gt;0),ROUND(Table1[[#This Row],[WHRS KW RECOVERED PER DAY]]/Table1[[#This Row],[WHRS RH]],1))</f>
        <v>0</v>
      </c>
      <c r="Z315" s="8"/>
      <c r="AA315" s="1"/>
      <c r="AB315" s="1"/>
      <c r="AC315" s="1"/>
      <c r="AD315" s="1"/>
      <c r="AE315" s="1"/>
      <c r="AF315" s="1" t="str">
        <f t="shared" si="14"/>
        <v/>
      </c>
      <c r="AG315" s="1" t="str">
        <f t="shared" si="15"/>
        <v/>
      </c>
      <c r="AH315" s="1" t="str">
        <f t="shared" si="16"/>
        <v/>
      </c>
      <c r="AI315" s="1" t="str">
        <f>IF(AH315="", "", SUM($AH$4:AH315))</f>
        <v/>
      </c>
      <c r="AJ315" s="9"/>
    </row>
    <row r="316" spans="1:36">
      <c r="A316" s="7"/>
      <c r="W316" s="1" t="str">
        <f>IF(Table1[[#This Row],[WHRS NET KW TOTAL]]="","", Table1[[#This Row],[WHRS NET KW TOTAL]]-U315)</f>
        <v/>
      </c>
      <c r="X316" s="6">
        <f>Table1[[#This Row],[WHRS  KW TOTAL]]-V315</f>
        <v>0</v>
      </c>
      <c r="Y316" s="6" t="b">
        <f>IF(AND(Table1[[#This Row],[WHRS KW RECOVERED PER DAY]]&lt;&gt;0,Table1[[#This Row],[WHRS RH]]&lt;&gt;0),ROUND(Table1[[#This Row],[WHRS KW RECOVERED PER DAY]]/Table1[[#This Row],[WHRS RH]],1))</f>
        <v>0</v>
      </c>
      <c r="Z316" s="8"/>
      <c r="AA316" s="1"/>
      <c r="AB316" s="1"/>
      <c r="AC316" s="1"/>
      <c r="AD316" s="1"/>
      <c r="AE316" s="1"/>
      <c r="AF316" s="1" t="str">
        <f t="shared" si="14"/>
        <v/>
      </c>
      <c r="AG316" s="1" t="str">
        <f t="shared" si="15"/>
        <v/>
      </c>
      <c r="AH316" s="1" t="str">
        <f t="shared" si="16"/>
        <v/>
      </c>
      <c r="AI316" s="1" t="str">
        <f>IF(AH316="", "", SUM($AH$4:AH316))</f>
        <v/>
      </c>
      <c r="AJ316" s="9"/>
    </row>
    <row r="317" spans="1:36">
      <c r="A317" s="7"/>
      <c r="W317" s="1" t="str">
        <f>IF(Table1[[#This Row],[WHRS NET KW TOTAL]]="","", Table1[[#This Row],[WHRS NET KW TOTAL]]-U316)</f>
        <v/>
      </c>
      <c r="X317" s="6">
        <f>Table1[[#This Row],[WHRS  KW TOTAL]]-V316</f>
        <v>0</v>
      </c>
      <c r="Y317" s="6" t="b">
        <f>IF(AND(Table1[[#This Row],[WHRS KW RECOVERED PER DAY]]&lt;&gt;0,Table1[[#This Row],[WHRS RH]]&lt;&gt;0),ROUND(Table1[[#This Row],[WHRS KW RECOVERED PER DAY]]/Table1[[#This Row],[WHRS RH]],1))</f>
        <v>0</v>
      </c>
      <c r="Z317" s="8"/>
      <c r="AA317" s="1"/>
      <c r="AB317" s="1"/>
      <c r="AC317" s="1"/>
      <c r="AD317" s="1"/>
      <c r="AE317" s="1"/>
      <c r="AF317" s="1" t="str">
        <f t="shared" si="14"/>
        <v/>
      </c>
      <c r="AG317" s="1" t="str">
        <f t="shared" si="15"/>
        <v/>
      </c>
      <c r="AH317" s="1" t="str">
        <f t="shared" si="16"/>
        <v/>
      </c>
      <c r="AI317" s="1" t="str">
        <f>IF(AH317="", "", SUM($AH$4:AH317))</f>
        <v/>
      </c>
      <c r="AJ317" s="9"/>
    </row>
    <row r="318" spans="1:36">
      <c r="A318" s="7"/>
      <c r="W318" s="1" t="str">
        <f>IF(Table1[[#This Row],[WHRS NET KW TOTAL]]="","", Table1[[#This Row],[WHRS NET KW TOTAL]]-U317)</f>
        <v/>
      </c>
      <c r="X318" s="6">
        <f>Table1[[#This Row],[WHRS  KW TOTAL]]-V317</f>
        <v>0</v>
      </c>
      <c r="Y318" s="6" t="b">
        <f>IF(AND(Table1[[#This Row],[WHRS KW RECOVERED PER DAY]]&lt;&gt;0,Table1[[#This Row],[WHRS RH]]&lt;&gt;0),ROUND(Table1[[#This Row],[WHRS KW RECOVERED PER DAY]]/Table1[[#This Row],[WHRS RH]],1))</f>
        <v>0</v>
      </c>
      <c r="Z318" s="8"/>
      <c r="AA318" s="1"/>
      <c r="AB318" s="1"/>
      <c r="AC318" s="1"/>
      <c r="AD318" s="1"/>
      <c r="AE318" s="1"/>
      <c r="AF318" s="1" t="str">
        <f t="shared" si="14"/>
        <v/>
      </c>
      <c r="AG318" s="1" t="str">
        <f t="shared" si="15"/>
        <v/>
      </c>
      <c r="AH318" s="1" t="str">
        <f t="shared" si="16"/>
        <v/>
      </c>
      <c r="AI318" s="1" t="str">
        <f>IF(AH318="", "", SUM($AH$4:AH318))</f>
        <v/>
      </c>
      <c r="AJ318" s="9"/>
    </row>
    <row r="319" spans="1:36">
      <c r="A319" s="7"/>
      <c r="W319" s="1" t="str">
        <f>IF(Table1[[#This Row],[WHRS NET KW TOTAL]]="","", Table1[[#This Row],[WHRS NET KW TOTAL]]-U318)</f>
        <v/>
      </c>
      <c r="X319" s="6">
        <f>Table1[[#This Row],[WHRS  KW TOTAL]]-V318</f>
        <v>0</v>
      </c>
      <c r="Y319" s="6" t="b">
        <f>IF(AND(Table1[[#This Row],[WHRS KW RECOVERED PER DAY]]&lt;&gt;0,Table1[[#This Row],[WHRS RH]]&lt;&gt;0),ROUND(Table1[[#This Row],[WHRS KW RECOVERED PER DAY]]/Table1[[#This Row],[WHRS RH]],1))</f>
        <v>0</v>
      </c>
      <c r="Z319" s="8"/>
      <c r="AA319" s="1"/>
      <c r="AB319" s="1"/>
      <c r="AC319" s="1"/>
      <c r="AD319" s="1"/>
      <c r="AE319" s="1"/>
      <c r="AF319" s="1" t="str">
        <f t="shared" si="14"/>
        <v/>
      </c>
      <c r="AG319" s="1" t="str">
        <f t="shared" si="15"/>
        <v/>
      </c>
      <c r="AH319" s="1" t="str">
        <f t="shared" si="16"/>
        <v/>
      </c>
      <c r="AI319" s="1" t="str">
        <f>IF(AH319="", "", SUM($AH$4:AH319))</f>
        <v/>
      </c>
      <c r="AJ319" s="9"/>
    </row>
    <row r="320" spans="1:36">
      <c r="A320" s="7"/>
      <c r="W320" s="1" t="str">
        <f>IF(Table1[[#This Row],[WHRS NET KW TOTAL]]="","", Table1[[#This Row],[WHRS NET KW TOTAL]]-U319)</f>
        <v/>
      </c>
      <c r="X320" s="6">
        <f>Table1[[#This Row],[WHRS  KW TOTAL]]-V319</f>
        <v>0</v>
      </c>
      <c r="Y320" s="6" t="b">
        <f>IF(AND(Table1[[#This Row],[WHRS KW RECOVERED PER DAY]]&lt;&gt;0,Table1[[#This Row],[WHRS RH]]&lt;&gt;0),ROUND(Table1[[#This Row],[WHRS KW RECOVERED PER DAY]]/Table1[[#This Row],[WHRS RH]],1))</f>
        <v>0</v>
      </c>
      <c r="Z320" s="8"/>
      <c r="AA320" s="1"/>
      <c r="AB320" s="1"/>
      <c r="AC320" s="1"/>
      <c r="AD320" s="1"/>
      <c r="AE320" s="1"/>
      <c r="AF320" s="1" t="str">
        <f t="shared" si="14"/>
        <v/>
      </c>
      <c r="AG320" s="1" t="str">
        <f t="shared" si="15"/>
        <v/>
      </c>
      <c r="AH320" s="1" t="str">
        <f t="shared" si="16"/>
        <v/>
      </c>
      <c r="AI320" s="1" t="str">
        <f>IF(AH320="", "", SUM($AH$4:AH320))</f>
        <v/>
      </c>
      <c r="AJ320" s="9"/>
    </row>
    <row r="321" spans="1:36">
      <c r="A321" s="7"/>
      <c r="W321" s="1" t="str">
        <f>IF(Table1[[#This Row],[WHRS NET KW TOTAL]]="","", Table1[[#This Row],[WHRS NET KW TOTAL]]-U320)</f>
        <v/>
      </c>
      <c r="X321" s="6">
        <f>Table1[[#This Row],[WHRS  KW TOTAL]]-V320</f>
        <v>0</v>
      </c>
      <c r="Y321" s="6" t="b">
        <f>IF(AND(Table1[[#This Row],[WHRS KW RECOVERED PER DAY]]&lt;&gt;0,Table1[[#This Row],[WHRS RH]]&lt;&gt;0),ROUND(Table1[[#This Row],[WHRS KW RECOVERED PER DAY]]/Table1[[#This Row],[WHRS RH]],1))</f>
        <v>0</v>
      </c>
      <c r="Z321" s="8"/>
      <c r="AA321" s="1"/>
      <c r="AB321" s="1"/>
      <c r="AC321" s="1"/>
      <c r="AD321" s="1"/>
      <c r="AE321" s="1"/>
      <c r="AF321" s="1" t="str">
        <f t="shared" si="14"/>
        <v/>
      </c>
      <c r="AG321" s="1" t="str">
        <f t="shared" si="15"/>
        <v/>
      </c>
      <c r="AH321" s="1" t="str">
        <f t="shared" si="16"/>
        <v/>
      </c>
      <c r="AI321" s="1" t="str">
        <f>IF(AH321="", "", SUM($AH$4:AH321))</f>
        <v/>
      </c>
      <c r="AJ321" s="9"/>
    </row>
    <row r="322" spans="1:36">
      <c r="A322" s="7"/>
      <c r="W322" s="1" t="str">
        <f>IF(Table1[[#This Row],[WHRS NET KW TOTAL]]="","", Table1[[#This Row],[WHRS NET KW TOTAL]]-U321)</f>
        <v/>
      </c>
      <c r="X322" s="6">
        <f>Table1[[#This Row],[WHRS  KW TOTAL]]-V321</f>
        <v>0</v>
      </c>
      <c r="Y322" s="6" t="b">
        <f>IF(AND(Table1[[#This Row],[WHRS KW RECOVERED PER DAY]]&lt;&gt;0,Table1[[#This Row],[WHRS RH]]&lt;&gt;0),ROUND(Table1[[#This Row],[WHRS KW RECOVERED PER DAY]]/Table1[[#This Row],[WHRS RH]],1))</f>
        <v>0</v>
      </c>
      <c r="Z322" s="8"/>
      <c r="AA322" s="1"/>
      <c r="AB322" s="1"/>
      <c r="AC322" s="1"/>
      <c r="AD322" s="1"/>
      <c r="AE322" s="1"/>
      <c r="AF322" s="1" t="str">
        <f t="shared" si="14"/>
        <v/>
      </c>
      <c r="AG322" s="1" t="str">
        <f t="shared" si="15"/>
        <v/>
      </c>
      <c r="AH322" s="1" t="str">
        <f t="shared" si="16"/>
        <v/>
      </c>
      <c r="AI322" s="1" t="str">
        <f>IF(AH322="", "", SUM($AH$4:AH322))</f>
        <v/>
      </c>
      <c r="AJ322" s="9"/>
    </row>
    <row r="323" spans="1:36">
      <c r="A323" s="7"/>
      <c r="W323" s="1" t="str">
        <f>IF(Table1[[#This Row],[WHRS NET KW TOTAL]]="","", Table1[[#This Row],[WHRS NET KW TOTAL]]-U322)</f>
        <v/>
      </c>
      <c r="X323" s="6">
        <f>Table1[[#This Row],[WHRS  KW TOTAL]]-V322</f>
        <v>0</v>
      </c>
      <c r="Y323" s="6" t="b">
        <f>IF(AND(Table1[[#This Row],[WHRS KW RECOVERED PER DAY]]&lt;&gt;0,Table1[[#This Row],[WHRS RH]]&lt;&gt;0),ROUND(Table1[[#This Row],[WHRS KW RECOVERED PER DAY]]/Table1[[#This Row],[WHRS RH]],1))</f>
        <v>0</v>
      </c>
      <c r="Z323" s="8"/>
      <c r="AA323" s="1"/>
      <c r="AB323" s="1"/>
      <c r="AC323" s="1"/>
      <c r="AD323" s="1"/>
      <c r="AE323" s="1"/>
      <c r="AF323" s="1" t="str">
        <f t="shared" si="14"/>
        <v/>
      </c>
      <c r="AG323" s="1" t="str">
        <f t="shared" si="15"/>
        <v/>
      </c>
      <c r="AH323" s="1" t="str">
        <f t="shared" si="16"/>
        <v/>
      </c>
      <c r="AI323" s="1" t="str">
        <f>IF(AH323="", "", SUM($AH$4:AH323))</f>
        <v/>
      </c>
      <c r="AJ323" s="9"/>
    </row>
    <row r="324" spans="1:36">
      <c r="A324" s="7"/>
      <c r="W324" s="1" t="str">
        <f>IF(Table1[[#This Row],[WHRS NET KW TOTAL]]="","", Table1[[#This Row],[WHRS NET KW TOTAL]]-U323)</f>
        <v/>
      </c>
      <c r="X324" s="6">
        <f>Table1[[#This Row],[WHRS  KW TOTAL]]-V323</f>
        <v>0</v>
      </c>
      <c r="Y324" s="6" t="b">
        <f>IF(AND(Table1[[#This Row],[WHRS KW RECOVERED PER DAY]]&lt;&gt;0,Table1[[#This Row],[WHRS RH]]&lt;&gt;0),ROUND(Table1[[#This Row],[WHRS KW RECOVERED PER DAY]]/Table1[[#This Row],[WHRS RH]],1))</f>
        <v>0</v>
      </c>
      <c r="Z324" s="8"/>
      <c r="AA324" s="1"/>
      <c r="AB324" s="1"/>
      <c r="AC324" s="1"/>
      <c r="AD324" s="1"/>
      <c r="AE324" s="1"/>
      <c r="AF324" s="1" t="str">
        <f t="shared" si="14"/>
        <v/>
      </c>
      <c r="AG324" s="1" t="str">
        <f t="shared" si="15"/>
        <v/>
      </c>
      <c r="AH324" s="1" t="str">
        <f t="shared" si="16"/>
        <v/>
      </c>
      <c r="AI324" s="1" t="str">
        <f>IF(AH324="", "", SUM($AH$4:AH324))</f>
        <v/>
      </c>
      <c r="AJ324" s="9"/>
    </row>
    <row r="325" spans="1:36">
      <c r="A325" s="7"/>
      <c r="W325" s="1" t="str">
        <f>IF(Table1[[#This Row],[WHRS NET KW TOTAL]]="","", Table1[[#This Row],[WHRS NET KW TOTAL]]-U324)</f>
        <v/>
      </c>
      <c r="X325" s="6">
        <f>Table1[[#This Row],[WHRS  KW TOTAL]]-V324</f>
        <v>0</v>
      </c>
      <c r="Y325" s="6" t="b">
        <f>IF(AND(Table1[[#This Row],[WHRS KW RECOVERED PER DAY]]&lt;&gt;0,Table1[[#This Row],[WHRS RH]]&lt;&gt;0),ROUND(Table1[[#This Row],[WHRS KW RECOVERED PER DAY]]/Table1[[#This Row],[WHRS RH]],1))</f>
        <v>0</v>
      </c>
      <c r="Z325" s="8"/>
      <c r="AA325" s="1"/>
      <c r="AB325" s="1"/>
      <c r="AC325" s="1"/>
      <c r="AD325" s="1"/>
      <c r="AE325" s="1"/>
      <c r="AF325" s="1" t="str">
        <f t="shared" ref="AF325:AF388" si="17">IF(TRIM(C325)="", "", IF(TRIM(C325)="LNG", 192.1, 182.4))</f>
        <v/>
      </c>
      <c r="AG325" s="1" t="str">
        <f t="shared" ref="AG325:AG388" si="18">IF(C325="", "", _xlfn.IFS(C325="LNG", 1345, C325="LSMGO", 1280, C325="VLSFO", 820, C325="HSFO", 635, TRUE, ""))</f>
        <v/>
      </c>
      <c r="AH325" s="1" t="str">
        <f t="shared" ref="AH325:AH388" si="19">IF(OR(W325="", AF325="", AG325=""), "", W325 * (AF325 / 1000000) * AG325)</f>
        <v/>
      </c>
      <c r="AI325" s="1" t="str">
        <f>IF(AH325="", "", SUM($AH$4:AH325))</f>
        <v/>
      </c>
      <c r="AJ325" s="9"/>
    </row>
    <row r="326" spans="1:36">
      <c r="A326" s="7"/>
      <c r="W326" s="1" t="str">
        <f>IF(Table1[[#This Row],[WHRS NET KW TOTAL]]="","", Table1[[#This Row],[WHRS NET KW TOTAL]]-U325)</f>
        <v/>
      </c>
      <c r="X326" s="6">
        <f>Table1[[#This Row],[WHRS  KW TOTAL]]-V325</f>
        <v>0</v>
      </c>
      <c r="Y326" s="6" t="b">
        <f>IF(AND(Table1[[#This Row],[WHRS KW RECOVERED PER DAY]]&lt;&gt;0,Table1[[#This Row],[WHRS RH]]&lt;&gt;0),ROUND(Table1[[#This Row],[WHRS KW RECOVERED PER DAY]]/Table1[[#This Row],[WHRS RH]],1))</f>
        <v>0</v>
      </c>
      <c r="Z326" s="8"/>
      <c r="AA326" s="1"/>
      <c r="AB326" s="1"/>
      <c r="AC326" s="1"/>
      <c r="AD326" s="1"/>
      <c r="AE326" s="1"/>
      <c r="AF326" s="1" t="str">
        <f t="shared" si="17"/>
        <v/>
      </c>
      <c r="AG326" s="1" t="str">
        <f t="shared" si="18"/>
        <v/>
      </c>
      <c r="AH326" s="1" t="str">
        <f t="shared" si="19"/>
        <v/>
      </c>
      <c r="AI326" s="1" t="str">
        <f>IF(AH326="", "", SUM($AH$4:AH326))</f>
        <v/>
      </c>
      <c r="AJ326" s="9"/>
    </row>
    <row r="327" spans="1:36">
      <c r="A327" s="7"/>
      <c r="W327" s="1" t="str">
        <f>IF(Table1[[#This Row],[WHRS NET KW TOTAL]]="","", Table1[[#This Row],[WHRS NET KW TOTAL]]-U326)</f>
        <v/>
      </c>
      <c r="X327" s="6">
        <f>Table1[[#This Row],[WHRS  KW TOTAL]]-V326</f>
        <v>0</v>
      </c>
      <c r="Y327" s="6" t="b">
        <f>IF(AND(Table1[[#This Row],[WHRS KW RECOVERED PER DAY]]&lt;&gt;0,Table1[[#This Row],[WHRS RH]]&lt;&gt;0),ROUND(Table1[[#This Row],[WHRS KW RECOVERED PER DAY]]/Table1[[#This Row],[WHRS RH]],1))</f>
        <v>0</v>
      </c>
      <c r="Z327" s="8"/>
      <c r="AA327" s="1"/>
      <c r="AB327" s="1"/>
      <c r="AC327" s="1"/>
      <c r="AD327" s="1"/>
      <c r="AE327" s="1"/>
      <c r="AF327" s="1" t="str">
        <f t="shared" si="17"/>
        <v/>
      </c>
      <c r="AG327" s="1" t="str">
        <f t="shared" si="18"/>
        <v/>
      </c>
      <c r="AH327" s="1" t="str">
        <f t="shared" si="19"/>
        <v/>
      </c>
      <c r="AI327" s="1" t="str">
        <f>IF(AH327="", "", SUM($AH$4:AH327))</f>
        <v/>
      </c>
      <c r="AJ327" s="9"/>
    </row>
    <row r="328" spans="1:36">
      <c r="A328" s="7"/>
      <c r="W328" s="1" t="str">
        <f>IF(Table1[[#This Row],[WHRS NET KW TOTAL]]="","", Table1[[#This Row],[WHRS NET KW TOTAL]]-U327)</f>
        <v/>
      </c>
      <c r="X328" s="6">
        <f>Table1[[#This Row],[WHRS  KW TOTAL]]-V327</f>
        <v>0</v>
      </c>
      <c r="Y328" s="6" t="b">
        <f>IF(AND(Table1[[#This Row],[WHRS KW RECOVERED PER DAY]]&lt;&gt;0,Table1[[#This Row],[WHRS RH]]&lt;&gt;0),ROUND(Table1[[#This Row],[WHRS KW RECOVERED PER DAY]]/Table1[[#This Row],[WHRS RH]],1))</f>
        <v>0</v>
      </c>
      <c r="Z328" s="8"/>
      <c r="AA328" s="1"/>
      <c r="AB328" s="1"/>
      <c r="AC328" s="1"/>
      <c r="AD328" s="1"/>
      <c r="AE328" s="1"/>
      <c r="AF328" s="1" t="str">
        <f t="shared" si="17"/>
        <v/>
      </c>
      <c r="AG328" s="1" t="str">
        <f t="shared" si="18"/>
        <v/>
      </c>
      <c r="AH328" s="1" t="str">
        <f t="shared" si="19"/>
        <v/>
      </c>
      <c r="AI328" s="1" t="str">
        <f>IF(AH328="", "", SUM($AH$4:AH328))</f>
        <v/>
      </c>
      <c r="AJ328" s="9"/>
    </row>
    <row r="329" spans="1:36">
      <c r="A329" s="7"/>
      <c r="W329" s="1" t="str">
        <f>IF(Table1[[#This Row],[WHRS NET KW TOTAL]]="","", Table1[[#This Row],[WHRS NET KW TOTAL]]-U328)</f>
        <v/>
      </c>
      <c r="X329" s="6">
        <f>Table1[[#This Row],[WHRS  KW TOTAL]]-V328</f>
        <v>0</v>
      </c>
      <c r="Y329" s="6" t="b">
        <f>IF(AND(Table1[[#This Row],[WHRS KW RECOVERED PER DAY]]&lt;&gt;0,Table1[[#This Row],[WHRS RH]]&lt;&gt;0),ROUND(Table1[[#This Row],[WHRS KW RECOVERED PER DAY]]/Table1[[#This Row],[WHRS RH]],1))</f>
        <v>0</v>
      </c>
      <c r="Z329" s="8"/>
      <c r="AA329" s="1"/>
      <c r="AB329" s="1"/>
      <c r="AC329" s="1"/>
      <c r="AD329" s="1"/>
      <c r="AE329" s="1"/>
      <c r="AF329" s="1" t="str">
        <f t="shared" si="17"/>
        <v/>
      </c>
      <c r="AG329" s="1" t="str">
        <f t="shared" si="18"/>
        <v/>
      </c>
      <c r="AH329" s="1" t="str">
        <f t="shared" si="19"/>
        <v/>
      </c>
      <c r="AI329" s="1" t="str">
        <f>IF(AH329="", "", SUM($AH$4:AH329))</f>
        <v/>
      </c>
      <c r="AJ329" s="9"/>
    </row>
    <row r="330" spans="1:36">
      <c r="A330" s="7"/>
      <c r="W330" s="1" t="str">
        <f>IF(Table1[[#This Row],[WHRS NET KW TOTAL]]="","", Table1[[#This Row],[WHRS NET KW TOTAL]]-U329)</f>
        <v/>
      </c>
      <c r="X330" s="6">
        <f>Table1[[#This Row],[WHRS  KW TOTAL]]-V329</f>
        <v>0</v>
      </c>
      <c r="Y330" s="6" t="b">
        <f>IF(AND(Table1[[#This Row],[WHRS KW RECOVERED PER DAY]]&lt;&gt;0,Table1[[#This Row],[WHRS RH]]&lt;&gt;0),ROUND(Table1[[#This Row],[WHRS KW RECOVERED PER DAY]]/Table1[[#This Row],[WHRS RH]],1))</f>
        <v>0</v>
      </c>
      <c r="Z330" s="8"/>
      <c r="AA330" s="1"/>
      <c r="AB330" s="1"/>
      <c r="AC330" s="1"/>
      <c r="AD330" s="1"/>
      <c r="AE330" s="1"/>
      <c r="AF330" s="1" t="str">
        <f t="shared" si="17"/>
        <v/>
      </c>
      <c r="AG330" s="1" t="str">
        <f t="shared" si="18"/>
        <v/>
      </c>
      <c r="AH330" s="1" t="str">
        <f t="shared" si="19"/>
        <v/>
      </c>
      <c r="AI330" s="1" t="str">
        <f>IF(AH330="", "", SUM($AH$4:AH330))</f>
        <v/>
      </c>
      <c r="AJ330" s="9"/>
    </row>
    <row r="331" spans="1:36">
      <c r="A331" s="7"/>
      <c r="W331" s="1" t="str">
        <f>IF(Table1[[#This Row],[WHRS NET KW TOTAL]]="","", Table1[[#This Row],[WHRS NET KW TOTAL]]-U330)</f>
        <v/>
      </c>
      <c r="X331" s="6">
        <f>Table1[[#This Row],[WHRS  KW TOTAL]]-V330</f>
        <v>0</v>
      </c>
      <c r="Y331" s="6" t="b">
        <f>IF(AND(Table1[[#This Row],[WHRS KW RECOVERED PER DAY]]&lt;&gt;0,Table1[[#This Row],[WHRS RH]]&lt;&gt;0),ROUND(Table1[[#This Row],[WHRS KW RECOVERED PER DAY]]/Table1[[#This Row],[WHRS RH]],1))</f>
        <v>0</v>
      </c>
      <c r="Z331" s="8"/>
      <c r="AA331" s="1"/>
      <c r="AB331" s="1"/>
      <c r="AC331" s="1"/>
      <c r="AD331" s="1"/>
      <c r="AE331" s="1"/>
      <c r="AF331" s="1" t="str">
        <f t="shared" si="17"/>
        <v/>
      </c>
      <c r="AG331" s="1" t="str">
        <f t="shared" si="18"/>
        <v/>
      </c>
      <c r="AH331" s="1" t="str">
        <f t="shared" si="19"/>
        <v/>
      </c>
      <c r="AI331" s="1" t="str">
        <f>IF(AH331="", "", SUM($AH$4:AH331))</f>
        <v/>
      </c>
      <c r="AJ331" s="9"/>
    </row>
    <row r="332" spans="1:36">
      <c r="A332" s="7"/>
      <c r="W332" s="1" t="str">
        <f>IF(Table1[[#This Row],[WHRS NET KW TOTAL]]="","", Table1[[#This Row],[WHRS NET KW TOTAL]]-U331)</f>
        <v/>
      </c>
      <c r="X332" s="6">
        <f>Table1[[#This Row],[WHRS  KW TOTAL]]-V331</f>
        <v>0</v>
      </c>
      <c r="Y332" s="6" t="b">
        <f>IF(AND(Table1[[#This Row],[WHRS KW RECOVERED PER DAY]]&lt;&gt;0,Table1[[#This Row],[WHRS RH]]&lt;&gt;0),ROUND(Table1[[#This Row],[WHRS KW RECOVERED PER DAY]]/Table1[[#This Row],[WHRS RH]],1))</f>
        <v>0</v>
      </c>
      <c r="Z332" s="8"/>
      <c r="AA332" s="1"/>
      <c r="AB332" s="1"/>
      <c r="AC332" s="1"/>
      <c r="AD332" s="1"/>
      <c r="AE332" s="1"/>
      <c r="AF332" s="1" t="str">
        <f t="shared" si="17"/>
        <v/>
      </c>
      <c r="AG332" s="1" t="str">
        <f t="shared" si="18"/>
        <v/>
      </c>
      <c r="AH332" s="1" t="str">
        <f t="shared" si="19"/>
        <v/>
      </c>
      <c r="AI332" s="1" t="str">
        <f>IF(AH332="", "", SUM($AH$4:AH332))</f>
        <v/>
      </c>
      <c r="AJ332" s="9"/>
    </row>
    <row r="333" spans="1:36">
      <c r="A333" s="7"/>
      <c r="W333" s="1" t="str">
        <f>IF(Table1[[#This Row],[WHRS NET KW TOTAL]]="","", Table1[[#This Row],[WHRS NET KW TOTAL]]-U332)</f>
        <v/>
      </c>
      <c r="X333" s="6">
        <f>Table1[[#This Row],[WHRS  KW TOTAL]]-V332</f>
        <v>0</v>
      </c>
      <c r="Y333" s="6" t="b">
        <f>IF(AND(Table1[[#This Row],[WHRS KW RECOVERED PER DAY]]&lt;&gt;0,Table1[[#This Row],[WHRS RH]]&lt;&gt;0),ROUND(Table1[[#This Row],[WHRS KW RECOVERED PER DAY]]/Table1[[#This Row],[WHRS RH]],1))</f>
        <v>0</v>
      </c>
      <c r="Z333" s="8"/>
      <c r="AA333" s="1"/>
      <c r="AB333" s="1"/>
      <c r="AC333" s="1"/>
      <c r="AD333" s="1"/>
      <c r="AE333" s="1"/>
      <c r="AF333" s="1" t="str">
        <f t="shared" si="17"/>
        <v/>
      </c>
      <c r="AG333" s="1" t="str">
        <f t="shared" si="18"/>
        <v/>
      </c>
      <c r="AH333" s="1" t="str">
        <f t="shared" si="19"/>
        <v/>
      </c>
      <c r="AI333" s="1" t="str">
        <f>IF(AH333="", "", SUM($AH$4:AH333))</f>
        <v/>
      </c>
      <c r="AJ333" s="9"/>
    </row>
    <row r="334" spans="1:36">
      <c r="A334" s="7"/>
      <c r="W334" s="1" t="str">
        <f>IF(Table1[[#This Row],[WHRS NET KW TOTAL]]="","", Table1[[#This Row],[WHRS NET KW TOTAL]]-U333)</f>
        <v/>
      </c>
      <c r="X334" s="6">
        <f>Table1[[#This Row],[WHRS  KW TOTAL]]-V333</f>
        <v>0</v>
      </c>
      <c r="Y334" s="6" t="b">
        <f>IF(AND(Table1[[#This Row],[WHRS KW RECOVERED PER DAY]]&lt;&gt;0,Table1[[#This Row],[WHRS RH]]&lt;&gt;0),ROUND(Table1[[#This Row],[WHRS KW RECOVERED PER DAY]]/Table1[[#This Row],[WHRS RH]],1))</f>
        <v>0</v>
      </c>
      <c r="Z334" s="8"/>
      <c r="AA334" s="1"/>
      <c r="AB334" s="1"/>
      <c r="AC334" s="1"/>
      <c r="AD334" s="1"/>
      <c r="AE334" s="1"/>
      <c r="AF334" s="1" t="str">
        <f t="shared" si="17"/>
        <v/>
      </c>
      <c r="AG334" s="1" t="str">
        <f t="shared" si="18"/>
        <v/>
      </c>
      <c r="AH334" s="1" t="str">
        <f t="shared" si="19"/>
        <v/>
      </c>
      <c r="AI334" s="1" t="str">
        <f>IF(AH334="", "", SUM($AH$4:AH334))</f>
        <v/>
      </c>
      <c r="AJ334" s="9"/>
    </row>
    <row r="335" spans="1:36">
      <c r="A335" s="7"/>
      <c r="W335" s="1" t="str">
        <f>IF(Table1[[#This Row],[WHRS NET KW TOTAL]]="","", Table1[[#This Row],[WHRS NET KW TOTAL]]-U334)</f>
        <v/>
      </c>
      <c r="X335" s="6">
        <f>Table1[[#This Row],[WHRS  KW TOTAL]]-V334</f>
        <v>0</v>
      </c>
      <c r="Y335" s="6" t="b">
        <f>IF(AND(Table1[[#This Row],[WHRS KW RECOVERED PER DAY]]&lt;&gt;0,Table1[[#This Row],[WHRS RH]]&lt;&gt;0),ROUND(Table1[[#This Row],[WHRS KW RECOVERED PER DAY]]/Table1[[#This Row],[WHRS RH]],1))</f>
        <v>0</v>
      </c>
      <c r="Z335" s="8"/>
      <c r="AA335" s="1"/>
      <c r="AB335" s="1"/>
      <c r="AC335" s="1"/>
      <c r="AD335" s="1"/>
      <c r="AE335" s="1"/>
      <c r="AF335" s="1" t="str">
        <f t="shared" si="17"/>
        <v/>
      </c>
      <c r="AG335" s="1" t="str">
        <f t="shared" si="18"/>
        <v/>
      </c>
      <c r="AH335" s="1" t="str">
        <f t="shared" si="19"/>
        <v/>
      </c>
      <c r="AI335" s="1" t="str">
        <f>IF(AH335="", "", SUM($AH$4:AH335))</f>
        <v/>
      </c>
      <c r="AJ335" s="9"/>
    </row>
    <row r="336" spans="1:36">
      <c r="A336" s="7"/>
      <c r="W336" s="1" t="str">
        <f>IF(Table1[[#This Row],[WHRS NET KW TOTAL]]="","", Table1[[#This Row],[WHRS NET KW TOTAL]]-U335)</f>
        <v/>
      </c>
      <c r="X336" s="6">
        <f>Table1[[#This Row],[WHRS  KW TOTAL]]-V335</f>
        <v>0</v>
      </c>
      <c r="Y336" s="6" t="b">
        <f>IF(AND(Table1[[#This Row],[WHRS KW RECOVERED PER DAY]]&lt;&gt;0,Table1[[#This Row],[WHRS RH]]&lt;&gt;0),ROUND(Table1[[#This Row],[WHRS KW RECOVERED PER DAY]]/Table1[[#This Row],[WHRS RH]],1))</f>
        <v>0</v>
      </c>
      <c r="Z336" s="8"/>
      <c r="AA336" s="1"/>
      <c r="AB336" s="1"/>
      <c r="AC336" s="1"/>
      <c r="AD336" s="1"/>
      <c r="AE336" s="1"/>
      <c r="AF336" s="1" t="str">
        <f t="shared" si="17"/>
        <v/>
      </c>
      <c r="AG336" s="1" t="str">
        <f t="shared" si="18"/>
        <v/>
      </c>
      <c r="AH336" s="1" t="str">
        <f t="shared" si="19"/>
        <v/>
      </c>
      <c r="AI336" s="1" t="str">
        <f>IF(AH336="", "", SUM($AH$4:AH336))</f>
        <v/>
      </c>
      <c r="AJ336" s="9"/>
    </row>
    <row r="337" spans="1:36">
      <c r="A337" s="7"/>
      <c r="W337" s="1" t="str">
        <f>IF(Table1[[#This Row],[WHRS NET KW TOTAL]]="","", Table1[[#This Row],[WHRS NET KW TOTAL]]-U336)</f>
        <v/>
      </c>
      <c r="X337" s="6">
        <f>Table1[[#This Row],[WHRS  KW TOTAL]]-V336</f>
        <v>0</v>
      </c>
      <c r="Y337" s="6" t="b">
        <f>IF(AND(Table1[[#This Row],[WHRS KW RECOVERED PER DAY]]&lt;&gt;0,Table1[[#This Row],[WHRS RH]]&lt;&gt;0),ROUND(Table1[[#This Row],[WHRS KW RECOVERED PER DAY]]/Table1[[#This Row],[WHRS RH]],1))</f>
        <v>0</v>
      </c>
      <c r="Z337" s="8"/>
      <c r="AA337" s="1"/>
      <c r="AB337" s="1"/>
      <c r="AC337" s="1"/>
      <c r="AD337" s="1"/>
      <c r="AE337" s="1"/>
      <c r="AF337" s="1" t="str">
        <f t="shared" si="17"/>
        <v/>
      </c>
      <c r="AG337" s="1" t="str">
        <f t="shared" si="18"/>
        <v/>
      </c>
      <c r="AH337" s="1" t="str">
        <f t="shared" si="19"/>
        <v/>
      </c>
      <c r="AI337" s="1" t="str">
        <f>IF(AH337="", "", SUM($AH$4:AH337))</f>
        <v/>
      </c>
      <c r="AJ337" s="9"/>
    </row>
    <row r="338" spans="1:36">
      <c r="A338" s="7"/>
      <c r="W338" s="1" t="str">
        <f>IF(Table1[[#This Row],[WHRS NET KW TOTAL]]="","", Table1[[#This Row],[WHRS NET KW TOTAL]]-U337)</f>
        <v/>
      </c>
      <c r="X338" s="6">
        <f>Table1[[#This Row],[WHRS  KW TOTAL]]-V337</f>
        <v>0</v>
      </c>
      <c r="Y338" s="6" t="b">
        <f>IF(AND(Table1[[#This Row],[WHRS KW RECOVERED PER DAY]]&lt;&gt;0,Table1[[#This Row],[WHRS RH]]&lt;&gt;0),ROUND(Table1[[#This Row],[WHRS KW RECOVERED PER DAY]]/Table1[[#This Row],[WHRS RH]],1))</f>
        <v>0</v>
      </c>
      <c r="Z338" s="8"/>
      <c r="AA338" s="1"/>
      <c r="AB338" s="1"/>
      <c r="AC338" s="1"/>
      <c r="AD338" s="1"/>
      <c r="AE338" s="1"/>
      <c r="AF338" s="1" t="str">
        <f t="shared" si="17"/>
        <v/>
      </c>
      <c r="AG338" s="1" t="str">
        <f t="shared" si="18"/>
        <v/>
      </c>
      <c r="AH338" s="1" t="str">
        <f t="shared" si="19"/>
        <v/>
      </c>
      <c r="AI338" s="1" t="str">
        <f>IF(AH338="", "", SUM($AH$4:AH338))</f>
        <v/>
      </c>
      <c r="AJ338" s="9"/>
    </row>
    <row r="339" spans="1:36">
      <c r="A339" s="7"/>
      <c r="W339" s="1" t="str">
        <f>IF(Table1[[#This Row],[WHRS NET KW TOTAL]]="","", Table1[[#This Row],[WHRS NET KW TOTAL]]-U338)</f>
        <v/>
      </c>
      <c r="X339" s="6">
        <f>Table1[[#This Row],[WHRS  KW TOTAL]]-V338</f>
        <v>0</v>
      </c>
      <c r="Y339" s="6" t="b">
        <f>IF(AND(Table1[[#This Row],[WHRS KW RECOVERED PER DAY]]&lt;&gt;0,Table1[[#This Row],[WHRS RH]]&lt;&gt;0),ROUND(Table1[[#This Row],[WHRS KW RECOVERED PER DAY]]/Table1[[#This Row],[WHRS RH]],1))</f>
        <v>0</v>
      </c>
      <c r="Z339" s="8"/>
      <c r="AA339" s="1"/>
      <c r="AB339" s="1"/>
      <c r="AC339" s="1"/>
      <c r="AD339" s="1"/>
      <c r="AE339" s="1"/>
      <c r="AF339" s="1" t="str">
        <f t="shared" si="17"/>
        <v/>
      </c>
      <c r="AG339" s="1" t="str">
        <f t="shared" si="18"/>
        <v/>
      </c>
      <c r="AH339" s="1" t="str">
        <f t="shared" si="19"/>
        <v/>
      </c>
      <c r="AI339" s="1" t="str">
        <f>IF(AH339="", "", SUM($AH$4:AH339))</f>
        <v/>
      </c>
      <c r="AJ339" s="9"/>
    </row>
    <row r="340" spans="1:36">
      <c r="A340" s="7"/>
      <c r="W340" s="1" t="str">
        <f>IF(Table1[[#This Row],[WHRS NET KW TOTAL]]="","", Table1[[#This Row],[WHRS NET KW TOTAL]]-U339)</f>
        <v/>
      </c>
      <c r="X340" s="6">
        <f>Table1[[#This Row],[WHRS  KW TOTAL]]-V339</f>
        <v>0</v>
      </c>
      <c r="Y340" s="6" t="b">
        <f>IF(AND(Table1[[#This Row],[WHRS KW RECOVERED PER DAY]]&lt;&gt;0,Table1[[#This Row],[WHRS RH]]&lt;&gt;0),ROUND(Table1[[#This Row],[WHRS KW RECOVERED PER DAY]]/Table1[[#This Row],[WHRS RH]],1))</f>
        <v>0</v>
      </c>
      <c r="Z340" s="8"/>
      <c r="AA340" s="1"/>
      <c r="AB340" s="1"/>
      <c r="AC340" s="1"/>
      <c r="AD340" s="1"/>
      <c r="AE340" s="1"/>
      <c r="AF340" s="1" t="str">
        <f t="shared" si="17"/>
        <v/>
      </c>
      <c r="AG340" s="1" t="str">
        <f t="shared" si="18"/>
        <v/>
      </c>
      <c r="AH340" s="1" t="str">
        <f t="shared" si="19"/>
        <v/>
      </c>
      <c r="AI340" s="1" t="str">
        <f>IF(AH340="", "", SUM($AH$4:AH340))</f>
        <v/>
      </c>
      <c r="AJ340" s="9"/>
    </row>
    <row r="341" spans="1:36">
      <c r="A341" s="7"/>
      <c r="W341" s="1" t="str">
        <f>IF(Table1[[#This Row],[WHRS NET KW TOTAL]]="","", Table1[[#This Row],[WHRS NET KW TOTAL]]-U340)</f>
        <v/>
      </c>
      <c r="X341" s="6">
        <f>Table1[[#This Row],[WHRS  KW TOTAL]]-V340</f>
        <v>0</v>
      </c>
      <c r="Y341" s="6" t="b">
        <f>IF(AND(Table1[[#This Row],[WHRS KW RECOVERED PER DAY]]&lt;&gt;0,Table1[[#This Row],[WHRS RH]]&lt;&gt;0),ROUND(Table1[[#This Row],[WHRS KW RECOVERED PER DAY]]/Table1[[#This Row],[WHRS RH]],1))</f>
        <v>0</v>
      </c>
      <c r="Z341" s="8"/>
      <c r="AA341" s="1"/>
      <c r="AB341" s="1"/>
      <c r="AC341" s="1"/>
      <c r="AD341" s="1"/>
      <c r="AE341" s="1"/>
      <c r="AF341" s="1" t="str">
        <f t="shared" si="17"/>
        <v/>
      </c>
      <c r="AG341" s="1" t="str">
        <f t="shared" si="18"/>
        <v/>
      </c>
      <c r="AH341" s="1" t="str">
        <f t="shared" si="19"/>
        <v/>
      </c>
      <c r="AI341" s="1" t="str">
        <f>IF(AH341="", "", SUM($AH$4:AH341))</f>
        <v/>
      </c>
      <c r="AJ341" s="9"/>
    </row>
    <row r="342" spans="1:36">
      <c r="A342" s="7"/>
      <c r="W342" s="1" t="str">
        <f>IF(Table1[[#This Row],[WHRS NET KW TOTAL]]="","", Table1[[#This Row],[WHRS NET KW TOTAL]]-U341)</f>
        <v/>
      </c>
      <c r="X342" s="6">
        <f>Table1[[#This Row],[WHRS  KW TOTAL]]-V341</f>
        <v>0</v>
      </c>
      <c r="Y342" s="6" t="b">
        <f>IF(AND(Table1[[#This Row],[WHRS KW RECOVERED PER DAY]]&lt;&gt;0,Table1[[#This Row],[WHRS RH]]&lt;&gt;0),ROUND(Table1[[#This Row],[WHRS KW RECOVERED PER DAY]]/Table1[[#This Row],[WHRS RH]],1))</f>
        <v>0</v>
      </c>
      <c r="Z342" s="8"/>
      <c r="AA342" s="1"/>
      <c r="AB342" s="1"/>
      <c r="AC342" s="1"/>
      <c r="AD342" s="1"/>
      <c r="AE342" s="1"/>
      <c r="AF342" s="1" t="str">
        <f t="shared" si="17"/>
        <v/>
      </c>
      <c r="AG342" s="1" t="str">
        <f t="shared" si="18"/>
        <v/>
      </c>
      <c r="AH342" s="1" t="str">
        <f t="shared" si="19"/>
        <v/>
      </c>
      <c r="AI342" s="1" t="str">
        <f>IF(AH342="", "", SUM($AH$4:AH342))</f>
        <v/>
      </c>
      <c r="AJ342" s="9"/>
    </row>
    <row r="343" spans="1:36">
      <c r="A343" s="7"/>
      <c r="W343" s="1" t="str">
        <f>IF(Table1[[#This Row],[WHRS NET KW TOTAL]]="","", Table1[[#This Row],[WHRS NET KW TOTAL]]-U342)</f>
        <v/>
      </c>
      <c r="X343" s="6">
        <f>Table1[[#This Row],[WHRS  KW TOTAL]]-V342</f>
        <v>0</v>
      </c>
      <c r="Y343" s="6" t="b">
        <f>IF(AND(Table1[[#This Row],[WHRS KW RECOVERED PER DAY]]&lt;&gt;0,Table1[[#This Row],[WHRS RH]]&lt;&gt;0),ROUND(Table1[[#This Row],[WHRS KW RECOVERED PER DAY]]/Table1[[#This Row],[WHRS RH]],1))</f>
        <v>0</v>
      </c>
      <c r="Z343" s="8"/>
      <c r="AA343" s="1"/>
      <c r="AB343" s="1"/>
      <c r="AC343" s="1"/>
      <c r="AD343" s="1"/>
      <c r="AE343" s="1"/>
      <c r="AF343" s="1" t="str">
        <f t="shared" si="17"/>
        <v/>
      </c>
      <c r="AG343" s="1" t="str">
        <f t="shared" si="18"/>
        <v/>
      </c>
      <c r="AH343" s="1" t="str">
        <f t="shared" si="19"/>
        <v/>
      </c>
      <c r="AI343" s="1" t="str">
        <f>IF(AH343="", "", SUM($AH$4:AH343))</f>
        <v/>
      </c>
      <c r="AJ343" s="9"/>
    </row>
    <row r="344" spans="1:36">
      <c r="A344" s="7"/>
      <c r="W344" s="1" t="str">
        <f>IF(Table1[[#This Row],[WHRS NET KW TOTAL]]="","", Table1[[#This Row],[WHRS NET KW TOTAL]]-U343)</f>
        <v/>
      </c>
      <c r="X344" s="6">
        <f>Table1[[#This Row],[WHRS  KW TOTAL]]-V343</f>
        <v>0</v>
      </c>
      <c r="Y344" s="6" t="b">
        <f>IF(AND(Table1[[#This Row],[WHRS KW RECOVERED PER DAY]]&lt;&gt;0,Table1[[#This Row],[WHRS RH]]&lt;&gt;0),ROUND(Table1[[#This Row],[WHRS KW RECOVERED PER DAY]]/Table1[[#This Row],[WHRS RH]],1))</f>
        <v>0</v>
      </c>
      <c r="Z344" s="8"/>
      <c r="AA344" s="1"/>
      <c r="AB344" s="1"/>
      <c r="AC344" s="1"/>
      <c r="AD344" s="1"/>
      <c r="AE344" s="1"/>
      <c r="AF344" s="1" t="str">
        <f t="shared" si="17"/>
        <v/>
      </c>
      <c r="AG344" s="1" t="str">
        <f t="shared" si="18"/>
        <v/>
      </c>
      <c r="AH344" s="1" t="str">
        <f t="shared" si="19"/>
        <v/>
      </c>
      <c r="AI344" s="1" t="str">
        <f>IF(AH344="", "", SUM($AH$4:AH344))</f>
        <v/>
      </c>
      <c r="AJ344" s="9"/>
    </row>
    <row r="345" spans="1:36">
      <c r="A345" s="7"/>
      <c r="W345" s="1" t="str">
        <f>IF(Table1[[#This Row],[WHRS NET KW TOTAL]]="","", Table1[[#This Row],[WHRS NET KW TOTAL]]-U344)</f>
        <v/>
      </c>
      <c r="X345" s="6">
        <f>Table1[[#This Row],[WHRS  KW TOTAL]]-V344</f>
        <v>0</v>
      </c>
      <c r="Y345" s="6" t="b">
        <f>IF(AND(Table1[[#This Row],[WHRS KW RECOVERED PER DAY]]&lt;&gt;0,Table1[[#This Row],[WHRS RH]]&lt;&gt;0),ROUND(Table1[[#This Row],[WHRS KW RECOVERED PER DAY]]/Table1[[#This Row],[WHRS RH]],1))</f>
        <v>0</v>
      </c>
      <c r="Z345" s="8"/>
      <c r="AA345" s="1"/>
      <c r="AB345" s="1"/>
      <c r="AC345" s="1"/>
      <c r="AD345" s="1"/>
      <c r="AE345" s="1"/>
      <c r="AF345" s="1" t="str">
        <f t="shared" si="17"/>
        <v/>
      </c>
      <c r="AG345" s="1" t="str">
        <f t="shared" si="18"/>
        <v/>
      </c>
      <c r="AH345" s="1" t="str">
        <f t="shared" si="19"/>
        <v/>
      </c>
      <c r="AI345" s="1" t="str">
        <f>IF(AH345="", "", SUM($AH$4:AH345))</f>
        <v/>
      </c>
      <c r="AJ345" s="9"/>
    </row>
    <row r="346" spans="1:36">
      <c r="A346" s="7"/>
      <c r="W346" s="1" t="str">
        <f>IF(Table1[[#This Row],[WHRS NET KW TOTAL]]="","", Table1[[#This Row],[WHRS NET KW TOTAL]]-U345)</f>
        <v/>
      </c>
      <c r="X346" s="6">
        <f>Table1[[#This Row],[WHRS  KW TOTAL]]-V345</f>
        <v>0</v>
      </c>
      <c r="Y346" s="6" t="b">
        <f>IF(AND(Table1[[#This Row],[WHRS KW RECOVERED PER DAY]]&lt;&gt;0,Table1[[#This Row],[WHRS RH]]&lt;&gt;0),ROUND(Table1[[#This Row],[WHRS KW RECOVERED PER DAY]]/Table1[[#This Row],[WHRS RH]],1))</f>
        <v>0</v>
      </c>
      <c r="Z346" s="8"/>
      <c r="AA346" s="1"/>
      <c r="AB346" s="1"/>
      <c r="AC346" s="1"/>
      <c r="AD346" s="1"/>
      <c r="AE346" s="1"/>
      <c r="AF346" s="1" t="str">
        <f t="shared" si="17"/>
        <v/>
      </c>
      <c r="AG346" s="1" t="str">
        <f t="shared" si="18"/>
        <v/>
      </c>
      <c r="AH346" s="1" t="str">
        <f t="shared" si="19"/>
        <v/>
      </c>
      <c r="AI346" s="1" t="str">
        <f>IF(AH346="", "", SUM($AH$4:AH346))</f>
        <v/>
      </c>
      <c r="AJ346" s="9"/>
    </row>
    <row r="347" spans="1:36">
      <c r="A347" s="7"/>
      <c r="W347" s="1" t="str">
        <f>IF(Table1[[#This Row],[WHRS NET KW TOTAL]]="","", Table1[[#This Row],[WHRS NET KW TOTAL]]-U346)</f>
        <v/>
      </c>
      <c r="X347" s="6">
        <f>Table1[[#This Row],[WHRS  KW TOTAL]]-V346</f>
        <v>0</v>
      </c>
      <c r="Y347" s="6" t="b">
        <f>IF(AND(Table1[[#This Row],[WHRS KW RECOVERED PER DAY]]&lt;&gt;0,Table1[[#This Row],[WHRS RH]]&lt;&gt;0),ROUND(Table1[[#This Row],[WHRS KW RECOVERED PER DAY]]/Table1[[#This Row],[WHRS RH]],1))</f>
        <v>0</v>
      </c>
      <c r="Z347" s="8"/>
      <c r="AA347" s="1"/>
      <c r="AB347" s="1"/>
      <c r="AC347" s="1"/>
      <c r="AD347" s="1"/>
      <c r="AE347" s="1"/>
      <c r="AF347" s="1" t="str">
        <f t="shared" si="17"/>
        <v/>
      </c>
      <c r="AG347" s="1" t="str">
        <f t="shared" si="18"/>
        <v/>
      </c>
      <c r="AH347" s="1" t="str">
        <f t="shared" si="19"/>
        <v/>
      </c>
      <c r="AI347" s="1" t="str">
        <f>IF(AH347="", "", SUM($AH$4:AH347))</f>
        <v/>
      </c>
      <c r="AJ347" s="9"/>
    </row>
    <row r="348" spans="1:36">
      <c r="A348" s="7"/>
      <c r="W348" s="1" t="str">
        <f>IF(Table1[[#This Row],[WHRS NET KW TOTAL]]="","", Table1[[#This Row],[WHRS NET KW TOTAL]]-U347)</f>
        <v/>
      </c>
      <c r="X348" s="6">
        <f>Table1[[#This Row],[WHRS  KW TOTAL]]-V347</f>
        <v>0</v>
      </c>
      <c r="Y348" s="6" t="b">
        <f>IF(AND(Table1[[#This Row],[WHRS KW RECOVERED PER DAY]]&lt;&gt;0,Table1[[#This Row],[WHRS RH]]&lt;&gt;0),ROUND(Table1[[#This Row],[WHRS KW RECOVERED PER DAY]]/Table1[[#This Row],[WHRS RH]],1))</f>
        <v>0</v>
      </c>
      <c r="Z348" s="8"/>
      <c r="AA348" s="1"/>
      <c r="AB348" s="1"/>
      <c r="AC348" s="1"/>
      <c r="AD348" s="1"/>
      <c r="AE348" s="1"/>
      <c r="AF348" s="1" t="str">
        <f t="shared" si="17"/>
        <v/>
      </c>
      <c r="AG348" s="1" t="str">
        <f t="shared" si="18"/>
        <v/>
      </c>
      <c r="AH348" s="1" t="str">
        <f t="shared" si="19"/>
        <v/>
      </c>
      <c r="AI348" s="1" t="str">
        <f>IF(AH348="", "", SUM($AH$4:AH348))</f>
        <v/>
      </c>
      <c r="AJ348" s="9"/>
    </row>
    <row r="349" spans="1:36">
      <c r="A349" s="7"/>
      <c r="W349" s="1" t="str">
        <f>IF(Table1[[#This Row],[WHRS NET KW TOTAL]]="","", Table1[[#This Row],[WHRS NET KW TOTAL]]-U348)</f>
        <v/>
      </c>
      <c r="X349" s="6">
        <f>Table1[[#This Row],[WHRS  KW TOTAL]]-V348</f>
        <v>0</v>
      </c>
      <c r="Y349" s="6" t="b">
        <f>IF(AND(Table1[[#This Row],[WHRS KW RECOVERED PER DAY]]&lt;&gt;0,Table1[[#This Row],[WHRS RH]]&lt;&gt;0),ROUND(Table1[[#This Row],[WHRS KW RECOVERED PER DAY]]/Table1[[#This Row],[WHRS RH]],1))</f>
        <v>0</v>
      </c>
      <c r="Z349" s="8"/>
      <c r="AA349" s="1"/>
      <c r="AB349" s="1"/>
      <c r="AC349" s="1"/>
      <c r="AD349" s="1"/>
      <c r="AE349" s="1"/>
      <c r="AF349" s="1" t="str">
        <f t="shared" si="17"/>
        <v/>
      </c>
      <c r="AG349" s="1" t="str">
        <f t="shared" si="18"/>
        <v/>
      </c>
      <c r="AH349" s="1" t="str">
        <f t="shared" si="19"/>
        <v/>
      </c>
      <c r="AI349" s="1" t="str">
        <f>IF(AH349="", "", SUM($AH$4:AH349))</f>
        <v/>
      </c>
      <c r="AJ349" s="9"/>
    </row>
    <row r="350" spans="1:36">
      <c r="A350" s="7"/>
      <c r="W350" s="1" t="str">
        <f>IF(Table1[[#This Row],[WHRS NET KW TOTAL]]="","", Table1[[#This Row],[WHRS NET KW TOTAL]]-U349)</f>
        <v/>
      </c>
      <c r="X350" s="6">
        <f>Table1[[#This Row],[WHRS  KW TOTAL]]-V349</f>
        <v>0</v>
      </c>
      <c r="Y350" s="6" t="b">
        <f>IF(AND(Table1[[#This Row],[WHRS KW RECOVERED PER DAY]]&lt;&gt;0,Table1[[#This Row],[WHRS RH]]&lt;&gt;0),ROUND(Table1[[#This Row],[WHRS KW RECOVERED PER DAY]]/Table1[[#This Row],[WHRS RH]],1))</f>
        <v>0</v>
      </c>
      <c r="Z350" s="8"/>
      <c r="AA350" s="1"/>
      <c r="AB350" s="1"/>
      <c r="AC350" s="1"/>
      <c r="AD350" s="1"/>
      <c r="AE350" s="1"/>
      <c r="AF350" s="1" t="str">
        <f t="shared" si="17"/>
        <v/>
      </c>
      <c r="AG350" s="1" t="str">
        <f t="shared" si="18"/>
        <v/>
      </c>
      <c r="AH350" s="1" t="str">
        <f t="shared" si="19"/>
        <v/>
      </c>
      <c r="AI350" s="1" t="str">
        <f>IF(AH350="", "", SUM($AH$4:AH350))</f>
        <v/>
      </c>
      <c r="AJ350" s="9"/>
    </row>
    <row r="351" spans="1:36">
      <c r="A351" s="7"/>
      <c r="W351" s="1" t="str">
        <f>IF(Table1[[#This Row],[WHRS NET KW TOTAL]]="","", Table1[[#This Row],[WHRS NET KW TOTAL]]-U350)</f>
        <v/>
      </c>
      <c r="X351" s="6">
        <f>Table1[[#This Row],[WHRS  KW TOTAL]]-V350</f>
        <v>0</v>
      </c>
      <c r="Y351" s="6" t="b">
        <f>IF(AND(Table1[[#This Row],[WHRS KW RECOVERED PER DAY]]&lt;&gt;0,Table1[[#This Row],[WHRS RH]]&lt;&gt;0),ROUND(Table1[[#This Row],[WHRS KW RECOVERED PER DAY]]/Table1[[#This Row],[WHRS RH]],1))</f>
        <v>0</v>
      </c>
      <c r="Z351" s="8"/>
      <c r="AA351" s="1"/>
      <c r="AB351" s="1"/>
      <c r="AC351" s="1"/>
      <c r="AD351" s="1"/>
      <c r="AE351" s="1"/>
      <c r="AF351" s="1" t="str">
        <f t="shared" si="17"/>
        <v/>
      </c>
      <c r="AG351" s="1" t="str">
        <f t="shared" si="18"/>
        <v/>
      </c>
      <c r="AH351" s="1" t="str">
        <f t="shared" si="19"/>
        <v/>
      </c>
      <c r="AI351" s="1" t="str">
        <f>IF(AH351="", "", SUM($AH$4:AH351))</f>
        <v/>
      </c>
      <c r="AJ351" s="9"/>
    </row>
    <row r="352" spans="1:36">
      <c r="A352" s="7"/>
      <c r="W352" s="1" t="str">
        <f>IF(Table1[[#This Row],[WHRS NET KW TOTAL]]="","", Table1[[#This Row],[WHRS NET KW TOTAL]]-U351)</f>
        <v/>
      </c>
      <c r="X352" s="6">
        <f>Table1[[#This Row],[WHRS  KW TOTAL]]-V351</f>
        <v>0</v>
      </c>
      <c r="Y352" s="6" t="b">
        <f>IF(AND(Table1[[#This Row],[WHRS KW RECOVERED PER DAY]]&lt;&gt;0,Table1[[#This Row],[WHRS RH]]&lt;&gt;0),ROUND(Table1[[#This Row],[WHRS KW RECOVERED PER DAY]]/Table1[[#This Row],[WHRS RH]],1))</f>
        <v>0</v>
      </c>
      <c r="Z352" s="8"/>
      <c r="AA352" s="1"/>
      <c r="AB352" s="1"/>
      <c r="AC352" s="1"/>
      <c r="AD352" s="1"/>
      <c r="AE352" s="1"/>
      <c r="AF352" s="1" t="str">
        <f t="shared" si="17"/>
        <v/>
      </c>
      <c r="AG352" s="1" t="str">
        <f t="shared" si="18"/>
        <v/>
      </c>
      <c r="AH352" s="1" t="str">
        <f t="shared" si="19"/>
        <v/>
      </c>
      <c r="AI352" s="1" t="str">
        <f>IF(AH352="", "", SUM($AH$4:AH352))</f>
        <v/>
      </c>
      <c r="AJ352" s="9"/>
    </row>
    <row r="353" spans="1:36">
      <c r="A353" s="7"/>
      <c r="W353" s="1" t="str">
        <f>IF(Table1[[#This Row],[WHRS NET KW TOTAL]]="","", Table1[[#This Row],[WHRS NET KW TOTAL]]-U352)</f>
        <v/>
      </c>
      <c r="X353" s="6">
        <f>Table1[[#This Row],[WHRS  KW TOTAL]]-V352</f>
        <v>0</v>
      </c>
      <c r="Y353" s="6" t="b">
        <f>IF(AND(Table1[[#This Row],[WHRS KW RECOVERED PER DAY]]&lt;&gt;0,Table1[[#This Row],[WHRS RH]]&lt;&gt;0),ROUND(Table1[[#This Row],[WHRS KW RECOVERED PER DAY]]/Table1[[#This Row],[WHRS RH]],1))</f>
        <v>0</v>
      </c>
      <c r="Z353" s="8"/>
      <c r="AA353" s="1"/>
      <c r="AB353" s="1"/>
      <c r="AC353" s="1"/>
      <c r="AD353" s="1"/>
      <c r="AE353" s="1"/>
      <c r="AF353" s="1" t="str">
        <f t="shared" si="17"/>
        <v/>
      </c>
      <c r="AG353" s="1" t="str">
        <f t="shared" si="18"/>
        <v/>
      </c>
      <c r="AH353" s="1" t="str">
        <f t="shared" si="19"/>
        <v/>
      </c>
      <c r="AI353" s="1" t="str">
        <f>IF(AH353="", "", SUM($AH$4:AH353))</f>
        <v/>
      </c>
      <c r="AJ353" s="9"/>
    </row>
    <row r="354" spans="1:36">
      <c r="A354" s="7"/>
      <c r="W354" s="1" t="str">
        <f>IF(Table1[[#This Row],[WHRS NET KW TOTAL]]="","", Table1[[#This Row],[WHRS NET KW TOTAL]]-U353)</f>
        <v/>
      </c>
      <c r="X354" s="6">
        <f>Table1[[#This Row],[WHRS  KW TOTAL]]-V353</f>
        <v>0</v>
      </c>
      <c r="Y354" s="6" t="b">
        <f>IF(AND(Table1[[#This Row],[WHRS KW RECOVERED PER DAY]]&lt;&gt;0,Table1[[#This Row],[WHRS RH]]&lt;&gt;0),ROUND(Table1[[#This Row],[WHRS KW RECOVERED PER DAY]]/Table1[[#This Row],[WHRS RH]],1))</f>
        <v>0</v>
      </c>
      <c r="Z354" s="8"/>
      <c r="AA354" s="1"/>
      <c r="AB354" s="1"/>
      <c r="AC354" s="1"/>
      <c r="AD354" s="1"/>
      <c r="AE354" s="1"/>
      <c r="AF354" s="1" t="str">
        <f t="shared" si="17"/>
        <v/>
      </c>
      <c r="AG354" s="1" t="str">
        <f t="shared" si="18"/>
        <v/>
      </c>
      <c r="AH354" s="1" t="str">
        <f t="shared" si="19"/>
        <v/>
      </c>
      <c r="AI354" s="1" t="str">
        <f>IF(AH354="", "", SUM($AH$4:AH354))</f>
        <v/>
      </c>
      <c r="AJ354" s="9"/>
    </row>
    <row r="355" spans="1:36">
      <c r="A355" s="7"/>
      <c r="W355" s="1" t="str">
        <f>IF(Table1[[#This Row],[WHRS NET KW TOTAL]]="","", Table1[[#This Row],[WHRS NET KW TOTAL]]-U354)</f>
        <v/>
      </c>
      <c r="X355" s="6">
        <f>Table1[[#This Row],[WHRS  KW TOTAL]]-V354</f>
        <v>0</v>
      </c>
      <c r="Y355" s="6" t="b">
        <f>IF(AND(Table1[[#This Row],[WHRS KW RECOVERED PER DAY]]&lt;&gt;0,Table1[[#This Row],[WHRS RH]]&lt;&gt;0),ROUND(Table1[[#This Row],[WHRS KW RECOVERED PER DAY]]/Table1[[#This Row],[WHRS RH]],1))</f>
        <v>0</v>
      </c>
      <c r="Z355" s="8"/>
      <c r="AA355" s="1"/>
      <c r="AB355" s="1"/>
      <c r="AC355" s="1"/>
      <c r="AD355" s="1"/>
      <c r="AE355" s="1"/>
      <c r="AF355" s="1" t="str">
        <f t="shared" si="17"/>
        <v/>
      </c>
      <c r="AG355" s="1" t="str">
        <f t="shared" si="18"/>
        <v/>
      </c>
      <c r="AH355" s="1" t="str">
        <f t="shared" si="19"/>
        <v/>
      </c>
      <c r="AI355" s="1" t="str">
        <f>IF(AH355="", "", SUM($AH$4:AH355))</f>
        <v/>
      </c>
      <c r="AJ355" s="9"/>
    </row>
    <row r="356" spans="1:36">
      <c r="A356" s="7"/>
      <c r="W356" s="1" t="str">
        <f>IF(Table1[[#This Row],[WHRS NET KW TOTAL]]="","", Table1[[#This Row],[WHRS NET KW TOTAL]]-U355)</f>
        <v/>
      </c>
      <c r="X356" s="6">
        <f>Table1[[#This Row],[WHRS  KW TOTAL]]-V355</f>
        <v>0</v>
      </c>
      <c r="Y356" s="6" t="b">
        <f>IF(AND(Table1[[#This Row],[WHRS KW RECOVERED PER DAY]]&lt;&gt;0,Table1[[#This Row],[WHRS RH]]&lt;&gt;0),ROUND(Table1[[#This Row],[WHRS KW RECOVERED PER DAY]]/Table1[[#This Row],[WHRS RH]],1))</f>
        <v>0</v>
      </c>
      <c r="Z356" s="8"/>
      <c r="AA356" s="1"/>
      <c r="AB356" s="1"/>
      <c r="AC356" s="1"/>
      <c r="AD356" s="1"/>
      <c r="AE356" s="1"/>
      <c r="AF356" s="1" t="str">
        <f t="shared" si="17"/>
        <v/>
      </c>
      <c r="AG356" s="1" t="str">
        <f t="shared" si="18"/>
        <v/>
      </c>
      <c r="AH356" s="1" t="str">
        <f t="shared" si="19"/>
        <v/>
      </c>
      <c r="AI356" s="1" t="str">
        <f>IF(AH356="", "", SUM($AH$4:AH356))</f>
        <v/>
      </c>
      <c r="AJ356" s="9"/>
    </row>
    <row r="357" spans="1:36">
      <c r="A357" s="7"/>
      <c r="W357" s="1" t="str">
        <f>IF(Table1[[#This Row],[WHRS NET KW TOTAL]]="","", Table1[[#This Row],[WHRS NET KW TOTAL]]-U356)</f>
        <v/>
      </c>
      <c r="X357" s="6">
        <f>Table1[[#This Row],[WHRS  KW TOTAL]]-V356</f>
        <v>0</v>
      </c>
      <c r="Y357" s="6" t="b">
        <f>IF(AND(Table1[[#This Row],[WHRS KW RECOVERED PER DAY]]&lt;&gt;0,Table1[[#This Row],[WHRS RH]]&lt;&gt;0),ROUND(Table1[[#This Row],[WHRS KW RECOVERED PER DAY]]/Table1[[#This Row],[WHRS RH]],1))</f>
        <v>0</v>
      </c>
      <c r="Z357" s="8"/>
      <c r="AA357" s="1"/>
      <c r="AB357" s="1"/>
      <c r="AC357" s="1"/>
      <c r="AD357" s="1"/>
      <c r="AE357" s="1"/>
      <c r="AF357" s="1" t="str">
        <f t="shared" si="17"/>
        <v/>
      </c>
      <c r="AG357" s="1" t="str">
        <f t="shared" si="18"/>
        <v/>
      </c>
      <c r="AH357" s="1" t="str">
        <f t="shared" si="19"/>
        <v/>
      </c>
      <c r="AI357" s="1" t="str">
        <f>IF(AH357="", "", SUM($AH$4:AH357))</f>
        <v/>
      </c>
      <c r="AJ357" s="9"/>
    </row>
    <row r="358" spans="1:36">
      <c r="A358" s="7"/>
      <c r="W358" s="1" t="str">
        <f>IF(Table1[[#This Row],[WHRS NET KW TOTAL]]="","", Table1[[#This Row],[WHRS NET KW TOTAL]]-U357)</f>
        <v/>
      </c>
      <c r="X358" s="6">
        <f>Table1[[#This Row],[WHRS  KW TOTAL]]-V357</f>
        <v>0</v>
      </c>
      <c r="Y358" s="6" t="b">
        <f>IF(AND(Table1[[#This Row],[WHRS KW RECOVERED PER DAY]]&lt;&gt;0,Table1[[#This Row],[WHRS RH]]&lt;&gt;0),ROUND(Table1[[#This Row],[WHRS KW RECOVERED PER DAY]]/Table1[[#This Row],[WHRS RH]],1))</f>
        <v>0</v>
      </c>
      <c r="Z358" s="8"/>
      <c r="AA358" s="1"/>
      <c r="AB358" s="1"/>
      <c r="AC358" s="1"/>
      <c r="AD358" s="1"/>
      <c r="AE358" s="1"/>
      <c r="AF358" s="1" t="str">
        <f t="shared" si="17"/>
        <v/>
      </c>
      <c r="AG358" s="1" t="str">
        <f t="shared" si="18"/>
        <v/>
      </c>
      <c r="AH358" s="1" t="str">
        <f t="shared" si="19"/>
        <v/>
      </c>
      <c r="AI358" s="1" t="str">
        <f>IF(AH358="", "", SUM($AH$4:AH358))</f>
        <v/>
      </c>
      <c r="AJ358" s="9"/>
    </row>
    <row r="359" spans="1:36">
      <c r="A359" s="7"/>
      <c r="W359" s="1" t="str">
        <f>IF(Table1[[#This Row],[WHRS NET KW TOTAL]]="","", Table1[[#This Row],[WHRS NET KW TOTAL]]-U358)</f>
        <v/>
      </c>
      <c r="X359" s="6">
        <f>Table1[[#This Row],[WHRS  KW TOTAL]]-V358</f>
        <v>0</v>
      </c>
      <c r="Y359" s="6" t="b">
        <f>IF(AND(Table1[[#This Row],[WHRS KW RECOVERED PER DAY]]&lt;&gt;0,Table1[[#This Row],[WHRS RH]]&lt;&gt;0),ROUND(Table1[[#This Row],[WHRS KW RECOVERED PER DAY]]/Table1[[#This Row],[WHRS RH]],1))</f>
        <v>0</v>
      </c>
      <c r="Z359" s="8"/>
      <c r="AA359" s="1"/>
      <c r="AB359" s="1"/>
      <c r="AC359" s="1"/>
      <c r="AD359" s="1"/>
      <c r="AE359" s="1"/>
      <c r="AF359" s="1" t="str">
        <f t="shared" si="17"/>
        <v/>
      </c>
      <c r="AG359" s="1" t="str">
        <f t="shared" si="18"/>
        <v/>
      </c>
      <c r="AH359" s="1" t="str">
        <f t="shared" si="19"/>
        <v/>
      </c>
      <c r="AI359" s="1" t="str">
        <f>IF(AH359="", "", SUM($AH$4:AH359))</f>
        <v/>
      </c>
      <c r="AJ359" s="9"/>
    </row>
    <row r="360" spans="1:36">
      <c r="A360" s="7"/>
      <c r="W360" s="1" t="str">
        <f>IF(Table1[[#This Row],[WHRS NET KW TOTAL]]="","", Table1[[#This Row],[WHRS NET KW TOTAL]]-U359)</f>
        <v/>
      </c>
      <c r="X360" s="6">
        <f>Table1[[#This Row],[WHRS  KW TOTAL]]-V359</f>
        <v>0</v>
      </c>
      <c r="Y360" s="6" t="b">
        <f>IF(AND(Table1[[#This Row],[WHRS KW RECOVERED PER DAY]]&lt;&gt;0,Table1[[#This Row],[WHRS RH]]&lt;&gt;0),ROUND(Table1[[#This Row],[WHRS KW RECOVERED PER DAY]]/Table1[[#This Row],[WHRS RH]],1))</f>
        <v>0</v>
      </c>
      <c r="Z360" s="8"/>
      <c r="AA360" s="1"/>
      <c r="AB360" s="1"/>
      <c r="AC360" s="1"/>
      <c r="AD360" s="1"/>
      <c r="AE360" s="1"/>
      <c r="AF360" s="1" t="str">
        <f t="shared" si="17"/>
        <v/>
      </c>
      <c r="AG360" s="1" t="str">
        <f t="shared" si="18"/>
        <v/>
      </c>
      <c r="AH360" s="1" t="str">
        <f t="shared" si="19"/>
        <v/>
      </c>
      <c r="AI360" s="1" t="str">
        <f>IF(AH360="", "", SUM($AH$4:AH360))</f>
        <v/>
      </c>
      <c r="AJ360" s="9"/>
    </row>
    <row r="361" spans="1:36">
      <c r="A361" s="7"/>
      <c r="W361" s="1" t="str">
        <f>IF(Table1[[#This Row],[WHRS NET KW TOTAL]]="","", Table1[[#This Row],[WHRS NET KW TOTAL]]-U360)</f>
        <v/>
      </c>
      <c r="X361" s="6">
        <f>Table1[[#This Row],[WHRS  KW TOTAL]]-V360</f>
        <v>0</v>
      </c>
      <c r="Y361" s="6" t="b">
        <f>IF(AND(Table1[[#This Row],[WHRS KW RECOVERED PER DAY]]&lt;&gt;0,Table1[[#This Row],[WHRS RH]]&lt;&gt;0),ROUND(Table1[[#This Row],[WHRS KW RECOVERED PER DAY]]/Table1[[#This Row],[WHRS RH]],1))</f>
        <v>0</v>
      </c>
      <c r="Z361" s="8"/>
      <c r="AA361" s="1"/>
      <c r="AB361" s="1"/>
      <c r="AC361" s="1"/>
      <c r="AD361" s="1"/>
      <c r="AE361" s="1"/>
      <c r="AF361" s="1" t="str">
        <f t="shared" si="17"/>
        <v/>
      </c>
      <c r="AG361" s="1" t="str">
        <f t="shared" si="18"/>
        <v/>
      </c>
      <c r="AH361" s="1" t="str">
        <f t="shared" si="19"/>
        <v/>
      </c>
      <c r="AI361" s="1" t="str">
        <f>IF(AH361="", "", SUM($AH$4:AH361))</f>
        <v/>
      </c>
      <c r="AJ361" s="9"/>
    </row>
    <row r="362" spans="1:36">
      <c r="A362" s="7"/>
      <c r="W362" s="1" t="str">
        <f>IF(Table1[[#This Row],[WHRS NET KW TOTAL]]="","", Table1[[#This Row],[WHRS NET KW TOTAL]]-U361)</f>
        <v/>
      </c>
      <c r="X362" s="6">
        <f>Table1[[#This Row],[WHRS  KW TOTAL]]-V361</f>
        <v>0</v>
      </c>
      <c r="Y362" s="6" t="b">
        <f>IF(AND(Table1[[#This Row],[WHRS KW RECOVERED PER DAY]]&lt;&gt;0,Table1[[#This Row],[WHRS RH]]&lt;&gt;0),ROUND(Table1[[#This Row],[WHRS KW RECOVERED PER DAY]]/Table1[[#This Row],[WHRS RH]],1))</f>
        <v>0</v>
      </c>
      <c r="Z362" s="8"/>
      <c r="AA362" s="1"/>
      <c r="AB362" s="1"/>
      <c r="AC362" s="1"/>
      <c r="AD362" s="1"/>
      <c r="AE362" s="1"/>
      <c r="AF362" s="1" t="str">
        <f t="shared" si="17"/>
        <v/>
      </c>
      <c r="AG362" s="1" t="str">
        <f t="shared" si="18"/>
        <v/>
      </c>
      <c r="AH362" s="1" t="str">
        <f t="shared" si="19"/>
        <v/>
      </c>
      <c r="AI362" s="1" t="str">
        <f>IF(AH362="", "", SUM($AH$4:AH362))</f>
        <v/>
      </c>
      <c r="AJ362" s="9"/>
    </row>
    <row r="363" spans="1:36">
      <c r="A363" s="7"/>
      <c r="W363" s="1" t="str">
        <f>IF(Table1[[#This Row],[WHRS NET KW TOTAL]]="","", Table1[[#This Row],[WHRS NET KW TOTAL]]-U362)</f>
        <v/>
      </c>
      <c r="X363" s="6">
        <f>Table1[[#This Row],[WHRS  KW TOTAL]]-V362</f>
        <v>0</v>
      </c>
      <c r="Y363" s="6" t="b">
        <f>IF(AND(Table1[[#This Row],[WHRS KW RECOVERED PER DAY]]&lt;&gt;0,Table1[[#This Row],[WHRS RH]]&lt;&gt;0),ROUND(Table1[[#This Row],[WHRS KW RECOVERED PER DAY]]/Table1[[#This Row],[WHRS RH]],1))</f>
        <v>0</v>
      </c>
      <c r="Z363" s="8"/>
      <c r="AA363" s="1"/>
      <c r="AB363" s="1"/>
      <c r="AC363" s="1"/>
      <c r="AD363" s="1"/>
      <c r="AE363" s="1"/>
      <c r="AF363" s="1" t="str">
        <f t="shared" si="17"/>
        <v/>
      </c>
      <c r="AG363" s="1" t="str">
        <f t="shared" si="18"/>
        <v/>
      </c>
      <c r="AH363" s="1" t="str">
        <f t="shared" si="19"/>
        <v/>
      </c>
      <c r="AI363" s="1" t="str">
        <f>IF(AH363="", "", SUM($AH$4:AH363))</f>
        <v/>
      </c>
      <c r="AJ363" s="9"/>
    </row>
    <row r="364" spans="1:36">
      <c r="A364" s="7"/>
      <c r="W364" s="1" t="str">
        <f>IF(Table1[[#This Row],[WHRS NET KW TOTAL]]="","", Table1[[#This Row],[WHRS NET KW TOTAL]]-U363)</f>
        <v/>
      </c>
      <c r="X364" s="6">
        <f>Table1[[#This Row],[WHRS  KW TOTAL]]-V363</f>
        <v>0</v>
      </c>
      <c r="Y364" s="6" t="b">
        <f>IF(AND(Table1[[#This Row],[WHRS KW RECOVERED PER DAY]]&lt;&gt;0,Table1[[#This Row],[WHRS RH]]&lt;&gt;0),ROUND(Table1[[#This Row],[WHRS KW RECOVERED PER DAY]]/Table1[[#This Row],[WHRS RH]],1))</f>
        <v>0</v>
      </c>
      <c r="Z364" s="8"/>
      <c r="AA364" s="1"/>
      <c r="AB364" s="1"/>
      <c r="AC364" s="1"/>
      <c r="AD364" s="1"/>
      <c r="AE364" s="1"/>
      <c r="AF364" s="1" t="str">
        <f t="shared" si="17"/>
        <v/>
      </c>
      <c r="AG364" s="1" t="str">
        <f t="shared" si="18"/>
        <v/>
      </c>
      <c r="AH364" s="1" t="str">
        <f t="shared" si="19"/>
        <v/>
      </c>
      <c r="AI364" s="1" t="str">
        <f>IF(AH364="", "", SUM($AH$4:AH364))</f>
        <v/>
      </c>
      <c r="AJ364" s="9"/>
    </row>
    <row r="365" spans="1:36">
      <c r="A365" s="7"/>
      <c r="W365" s="1" t="str">
        <f>IF(Table1[[#This Row],[WHRS NET KW TOTAL]]="","", Table1[[#This Row],[WHRS NET KW TOTAL]]-U364)</f>
        <v/>
      </c>
      <c r="X365" s="6">
        <f>Table1[[#This Row],[WHRS  KW TOTAL]]-V364</f>
        <v>0</v>
      </c>
      <c r="Y365" s="6" t="b">
        <f>IF(AND(Table1[[#This Row],[WHRS KW RECOVERED PER DAY]]&lt;&gt;0,Table1[[#This Row],[WHRS RH]]&lt;&gt;0),ROUND(Table1[[#This Row],[WHRS KW RECOVERED PER DAY]]/Table1[[#This Row],[WHRS RH]],1))</f>
        <v>0</v>
      </c>
      <c r="Z365" s="8"/>
      <c r="AA365" s="1"/>
      <c r="AB365" s="1"/>
      <c r="AC365" s="1"/>
      <c r="AD365" s="1"/>
      <c r="AE365" s="1"/>
      <c r="AF365" s="1" t="str">
        <f t="shared" si="17"/>
        <v/>
      </c>
      <c r="AG365" s="1" t="str">
        <f t="shared" si="18"/>
        <v/>
      </c>
      <c r="AH365" s="1" t="str">
        <f t="shared" si="19"/>
        <v/>
      </c>
      <c r="AI365" s="1" t="str">
        <f>IF(AH365="", "", SUM($AH$4:AH365))</f>
        <v/>
      </c>
      <c r="AJ365" s="9"/>
    </row>
    <row r="366" spans="1:36">
      <c r="A366" s="7"/>
      <c r="W366" s="1" t="str">
        <f>IF(Table1[[#This Row],[WHRS NET KW TOTAL]]="","", Table1[[#This Row],[WHRS NET KW TOTAL]]-U365)</f>
        <v/>
      </c>
      <c r="X366" s="6">
        <f>Table1[[#This Row],[WHRS  KW TOTAL]]-V365</f>
        <v>0</v>
      </c>
      <c r="Y366" s="6" t="b">
        <f>IF(AND(Table1[[#This Row],[WHRS KW RECOVERED PER DAY]]&lt;&gt;0,Table1[[#This Row],[WHRS RH]]&lt;&gt;0),ROUND(Table1[[#This Row],[WHRS KW RECOVERED PER DAY]]/Table1[[#This Row],[WHRS RH]],1))</f>
        <v>0</v>
      </c>
      <c r="Z366" s="8"/>
      <c r="AA366" s="1"/>
      <c r="AB366" s="1"/>
      <c r="AC366" s="1"/>
      <c r="AD366" s="1"/>
      <c r="AE366" s="1"/>
      <c r="AF366" s="1" t="str">
        <f t="shared" si="17"/>
        <v/>
      </c>
      <c r="AG366" s="1" t="str">
        <f t="shared" si="18"/>
        <v/>
      </c>
      <c r="AH366" s="1" t="str">
        <f t="shared" si="19"/>
        <v/>
      </c>
      <c r="AI366" s="1" t="str">
        <f>IF(AH366="", "", SUM($AH$4:AH366))</f>
        <v/>
      </c>
      <c r="AJ366" s="9"/>
    </row>
    <row r="367" spans="1:36">
      <c r="A367" s="7"/>
      <c r="W367" s="1" t="str">
        <f>IF(Table1[[#This Row],[WHRS NET KW TOTAL]]="","", Table1[[#This Row],[WHRS NET KW TOTAL]]-U366)</f>
        <v/>
      </c>
      <c r="X367" s="6">
        <f>Table1[[#This Row],[WHRS  KW TOTAL]]-V366</f>
        <v>0</v>
      </c>
      <c r="Y367" s="6" t="b">
        <f>IF(AND(Table1[[#This Row],[WHRS KW RECOVERED PER DAY]]&lt;&gt;0,Table1[[#This Row],[WHRS RH]]&lt;&gt;0),ROUND(Table1[[#This Row],[WHRS KW RECOVERED PER DAY]]/Table1[[#This Row],[WHRS RH]],1))</f>
        <v>0</v>
      </c>
      <c r="Z367" s="8"/>
      <c r="AA367" s="1"/>
      <c r="AB367" s="1"/>
      <c r="AC367" s="1"/>
      <c r="AD367" s="1"/>
      <c r="AE367" s="1"/>
      <c r="AF367" s="1" t="str">
        <f t="shared" si="17"/>
        <v/>
      </c>
      <c r="AG367" s="1" t="str">
        <f t="shared" si="18"/>
        <v/>
      </c>
      <c r="AH367" s="1" t="str">
        <f t="shared" si="19"/>
        <v/>
      </c>
      <c r="AI367" s="1" t="str">
        <f>IF(AH367="", "", SUM($AH$4:AH367))</f>
        <v/>
      </c>
      <c r="AJ367" s="9"/>
    </row>
    <row r="368" spans="1:36">
      <c r="A368" s="7"/>
      <c r="W368" s="1" t="str">
        <f>IF(Table1[[#This Row],[WHRS NET KW TOTAL]]="","", Table1[[#This Row],[WHRS NET KW TOTAL]]-U367)</f>
        <v/>
      </c>
      <c r="X368" s="6">
        <f>Table1[[#This Row],[WHRS  KW TOTAL]]-V367</f>
        <v>0</v>
      </c>
      <c r="Y368" s="6" t="b">
        <f>IF(AND(Table1[[#This Row],[WHRS KW RECOVERED PER DAY]]&lt;&gt;0,Table1[[#This Row],[WHRS RH]]&lt;&gt;0),ROUND(Table1[[#This Row],[WHRS KW RECOVERED PER DAY]]/Table1[[#This Row],[WHRS RH]],1))</f>
        <v>0</v>
      </c>
      <c r="Z368" s="8"/>
      <c r="AA368" s="1"/>
      <c r="AB368" s="1"/>
      <c r="AC368" s="1"/>
      <c r="AD368" s="1"/>
      <c r="AE368" s="1"/>
      <c r="AF368" s="1" t="str">
        <f t="shared" si="17"/>
        <v/>
      </c>
      <c r="AG368" s="1" t="str">
        <f t="shared" si="18"/>
        <v/>
      </c>
      <c r="AH368" s="1" t="str">
        <f t="shared" si="19"/>
        <v/>
      </c>
      <c r="AI368" s="1" t="str">
        <f>IF(AH368="", "", SUM($AH$4:AH368))</f>
        <v/>
      </c>
      <c r="AJ368" s="9"/>
    </row>
    <row r="369" spans="1:36">
      <c r="A369" s="7"/>
      <c r="W369" s="1" t="str">
        <f>IF(Table1[[#This Row],[WHRS NET KW TOTAL]]="","", Table1[[#This Row],[WHRS NET KW TOTAL]]-U368)</f>
        <v/>
      </c>
      <c r="X369" s="6">
        <f>Table1[[#This Row],[WHRS  KW TOTAL]]-V368</f>
        <v>0</v>
      </c>
      <c r="Y369" s="6" t="b">
        <f>IF(AND(Table1[[#This Row],[WHRS KW RECOVERED PER DAY]]&lt;&gt;0,Table1[[#This Row],[WHRS RH]]&lt;&gt;0),ROUND(Table1[[#This Row],[WHRS KW RECOVERED PER DAY]]/Table1[[#This Row],[WHRS RH]],1))</f>
        <v>0</v>
      </c>
      <c r="Z369" s="8"/>
      <c r="AA369" s="1"/>
      <c r="AB369" s="1"/>
      <c r="AC369" s="1"/>
      <c r="AD369" s="1"/>
      <c r="AE369" s="1"/>
      <c r="AF369" s="1" t="str">
        <f t="shared" si="17"/>
        <v/>
      </c>
      <c r="AG369" s="1" t="str">
        <f t="shared" si="18"/>
        <v/>
      </c>
      <c r="AH369" s="1" t="str">
        <f t="shared" si="19"/>
        <v/>
      </c>
      <c r="AI369" s="1" t="str">
        <f>IF(AH369="", "", SUM($AH$4:AH369))</f>
        <v/>
      </c>
      <c r="AJ369" s="9"/>
    </row>
    <row r="370" spans="1:36">
      <c r="A370" s="7"/>
      <c r="W370" s="1" t="str">
        <f>IF(Table1[[#This Row],[WHRS NET KW TOTAL]]="","", Table1[[#This Row],[WHRS NET KW TOTAL]]-U369)</f>
        <v/>
      </c>
      <c r="X370" s="6">
        <f>Table1[[#This Row],[WHRS  KW TOTAL]]-V369</f>
        <v>0</v>
      </c>
      <c r="Y370" s="6" t="b">
        <f>IF(AND(Table1[[#This Row],[WHRS KW RECOVERED PER DAY]]&lt;&gt;0,Table1[[#This Row],[WHRS RH]]&lt;&gt;0),ROUND(Table1[[#This Row],[WHRS KW RECOVERED PER DAY]]/Table1[[#This Row],[WHRS RH]],1))</f>
        <v>0</v>
      </c>
      <c r="Z370" s="8"/>
      <c r="AA370" s="1"/>
      <c r="AB370" s="1"/>
      <c r="AC370" s="1"/>
      <c r="AD370" s="1"/>
      <c r="AE370" s="1"/>
      <c r="AF370" s="1" t="str">
        <f t="shared" si="17"/>
        <v/>
      </c>
      <c r="AG370" s="1" t="str">
        <f t="shared" si="18"/>
        <v/>
      </c>
      <c r="AH370" s="1" t="str">
        <f t="shared" si="19"/>
        <v/>
      </c>
      <c r="AI370" s="1" t="str">
        <f>IF(AH370="", "", SUM($AH$4:AH370))</f>
        <v/>
      </c>
      <c r="AJ370" s="9"/>
    </row>
    <row r="371" spans="1:36">
      <c r="A371" s="7"/>
      <c r="W371" s="1" t="str">
        <f>IF(Table1[[#This Row],[WHRS NET KW TOTAL]]="","", Table1[[#This Row],[WHRS NET KW TOTAL]]-U370)</f>
        <v/>
      </c>
      <c r="X371" s="6">
        <f>Table1[[#This Row],[WHRS  KW TOTAL]]-V370</f>
        <v>0</v>
      </c>
      <c r="Y371" s="6" t="b">
        <f>IF(AND(Table1[[#This Row],[WHRS KW RECOVERED PER DAY]]&lt;&gt;0,Table1[[#This Row],[WHRS RH]]&lt;&gt;0),ROUND(Table1[[#This Row],[WHRS KW RECOVERED PER DAY]]/Table1[[#This Row],[WHRS RH]],1))</f>
        <v>0</v>
      </c>
      <c r="Z371" s="8"/>
      <c r="AA371" s="1"/>
      <c r="AB371" s="1"/>
      <c r="AC371" s="1"/>
      <c r="AD371" s="1"/>
      <c r="AE371" s="1"/>
      <c r="AF371" s="1" t="str">
        <f t="shared" si="17"/>
        <v/>
      </c>
      <c r="AG371" s="1" t="str">
        <f t="shared" si="18"/>
        <v/>
      </c>
      <c r="AH371" s="1" t="str">
        <f t="shared" si="19"/>
        <v/>
      </c>
      <c r="AI371" s="1" t="str">
        <f>IF(AH371="", "", SUM($AH$4:AH371))</f>
        <v/>
      </c>
      <c r="AJ371" s="9"/>
    </row>
    <row r="372" spans="1:36">
      <c r="A372" s="7"/>
      <c r="W372" s="1" t="str">
        <f>IF(Table1[[#This Row],[WHRS NET KW TOTAL]]="","", Table1[[#This Row],[WHRS NET KW TOTAL]]-U371)</f>
        <v/>
      </c>
      <c r="X372" s="6">
        <f>Table1[[#This Row],[WHRS  KW TOTAL]]-V371</f>
        <v>0</v>
      </c>
      <c r="Y372" s="6" t="b">
        <f>IF(AND(Table1[[#This Row],[WHRS KW RECOVERED PER DAY]]&lt;&gt;0,Table1[[#This Row],[WHRS RH]]&lt;&gt;0),ROUND(Table1[[#This Row],[WHRS KW RECOVERED PER DAY]]/Table1[[#This Row],[WHRS RH]],1))</f>
        <v>0</v>
      </c>
      <c r="Z372" s="8"/>
      <c r="AA372" s="1"/>
      <c r="AB372" s="1"/>
      <c r="AC372" s="1"/>
      <c r="AD372" s="1"/>
      <c r="AE372" s="1"/>
      <c r="AF372" s="1" t="str">
        <f t="shared" si="17"/>
        <v/>
      </c>
      <c r="AG372" s="1" t="str">
        <f t="shared" si="18"/>
        <v/>
      </c>
      <c r="AH372" s="1" t="str">
        <f t="shared" si="19"/>
        <v/>
      </c>
      <c r="AI372" s="1" t="str">
        <f>IF(AH372="", "", SUM($AH$4:AH372))</f>
        <v/>
      </c>
      <c r="AJ372" s="9"/>
    </row>
    <row r="373" spans="1:36">
      <c r="A373" s="7"/>
      <c r="W373" s="1" t="str">
        <f>IF(Table1[[#This Row],[WHRS NET KW TOTAL]]="","", Table1[[#This Row],[WHRS NET KW TOTAL]]-U372)</f>
        <v/>
      </c>
      <c r="X373" s="6">
        <f>Table1[[#This Row],[WHRS  KW TOTAL]]-V372</f>
        <v>0</v>
      </c>
      <c r="Y373" s="6" t="b">
        <f>IF(AND(Table1[[#This Row],[WHRS KW RECOVERED PER DAY]]&lt;&gt;0,Table1[[#This Row],[WHRS RH]]&lt;&gt;0),ROUND(Table1[[#This Row],[WHRS KW RECOVERED PER DAY]]/Table1[[#This Row],[WHRS RH]],1))</f>
        <v>0</v>
      </c>
      <c r="Z373" s="8"/>
      <c r="AA373" s="1"/>
      <c r="AB373" s="1"/>
      <c r="AC373" s="1"/>
      <c r="AD373" s="1"/>
      <c r="AE373" s="1"/>
      <c r="AF373" s="1" t="str">
        <f t="shared" si="17"/>
        <v/>
      </c>
      <c r="AG373" s="1" t="str">
        <f t="shared" si="18"/>
        <v/>
      </c>
      <c r="AH373" s="1" t="str">
        <f t="shared" si="19"/>
        <v/>
      </c>
      <c r="AI373" s="1" t="str">
        <f>IF(AH373="", "", SUM($AH$4:AH373))</f>
        <v/>
      </c>
      <c r="AJ373" s="9"/>
    </row>
    <row r="374" spans="1:36">
      <c r="A374" s="7"/>
      <c r="W374" s="1" t="str">
        <f>IF(Table1[[#This Row],[WHRS NET KW TOTAL]]="","", Table1[[#This Row],[WHRS NET KW TOTAL]]-U373)</f>
        <v/>
      </c>
      <c r="X374" s="6">
        <f>Table1[[#This Row],[WHRS  KW TOTAL]]-V373</f>
        <v>0</v>
      </c>
      <c r="Y374" s="6" t="b">
        <f>IF(AND(Table1[[#This Row],[WHRS KW RECOVERED PER DAY]]&lt;&gt;0,Table1[[#This Row],[WHRS RH]]&lt;&gt;0),ROUND(Table1[[#This Row],[WHRS KW RECOVERED PER DAY]]/Table1[[#This Row],[WHRS RH]],1))</f>
        <v>0</v>
      </c>
      <c r="Z374" s="8"/>
      <c r="AA374" s="1"/>
      <c r="AB374" s="1"/>
      <c r="AC374" s="1"/>
      <c r="AD374" s="1"/>
      <c r="AE374" s="1"/>
      <c r="AF374" s="1" t="str">
        <f t="shared" si="17"/>
        <v/>
      </c>
      <c r="AG374" s="1" t="str">
        <f t="shared" si="18"/>
        <v/>
      </c>
      <c r="AH374" s="1" t="str">
        <f t="shared" si="19"/>
        <v/>
      </c>
      <c r="AI374" s="1" t="str">
        <f>IF(AH374="", "", SUM($AH$4:AH374))</f>
        <v/>
      </c>
      <c r="AJ374" s="9"/>
    </row>
    <row r="375" spans="1:36">
      <c r="A375" s="7"/>
      <c r="W375" s="1" t="str">
        <f>IF(Table1[[#This Row],[WHRS NET KW TOTAL]]="","", Table1[[#This Row],[WHRS NET KW TOTAL]]-U374)</f>
        <v/>
      </c>
      <c r="X375" s="6">
        <f>Table1[[#This Row],[WHRS  KW TOTAL]]-V374</f>
        <v>0</v>
      </c>
      <c r="Y375" s="6" t="b">
        <f>IF(AND(Table1[[#This Row],[WHRS KW RECOVERED PER DAY]]&lt;&gt;0,Table1[[#This Row],[WHRS RH]]&lt;&gt;0),ROUND(Table1[[#This Row],[WHRS KW RECOVERED PER DAY]]/Table1[[#This Row],[WHRS RH]],1))</f>
        <v>0</v>
      </c>
      <c r="Z375" s="8"/>
      <c r="AA375" s="1"/>
      <c r="AB375" s="1"/>
      <c r="AC375" s="1"/>
      <c r="AD375" s="1"/>
      <c r="AE375" s="1"/>
      <c r="AF375" s="1" t="str">
        <f t="shared" si="17"/>
        <v/>
      </c>
      <c r="AG375" s="1" t="str">
        <f t="shared" si="18"/>
        <v/>
      </c>
      <c r="AH375" s="1" t="str">
        <f t="shared" si="19"/>
        <v/>
      </c>
      <c r="AI375" s="1" t="str">
        <f>IF(AH375="", "", SUM($AH$4:AH375))</f>
        <v/>
      </c>
      <c r="AJ375" s="9"/>
    </row>
    <row r="376" spans="1:36">
      <c r="A376" s="7"/>
      <c r="W376" s="1" t="str">
        <f>IF(Table1[[#This Row],[WHRS NET KW TOTAL]]="","", Table1[[#This Row],[WHRS NET KW TOTAL]]-U375)</f>
        <v/>
      </c>
      <c r="X376" s="6">
        <f>Table1[[#This Row],[WHRS  KW TOTAL]]-V375</f>
        <v>0</v>
      </c>
      <c r="Y376" s="6" t="b">
        <f>IF(AND(Table1[[#This Row],[WHRS KW RECOVERED PER DAY]]&lt;&gt;0,Table1[[#This Row],[WHRS RH]]&lt;&gt;0),ROUND(Table1[[#This Row],[WHRS KW RECOVERED PER DAY]]/Table1[[#This Row],[WHRS RH]],1))</f>
        <v>0</v>
      </c>
      <c r="Z376" s="8"/>
      <c r="AA376" s="1"/>
      <c r="AB376" s="1"/>
      <c r="AC376" s="1"/>
      <c r="AD376" s="1"/>
      <c r="AE376" s="1"/>
      <c r="AF376" s="1" t="str">
        <f t="shared" si="17"/>
        <v/>
      </c>
      <c r="AG376" s="1" t="str">
        <f t="shared" si="18"/>
        <v/>
      </c>
      <c r="AH376" s="1" t="str">
        <f t="shared" si="19"/>
        <v/>
      </c>
      <c r="AI376" s="1" t="str">
        <f>IF(AH376="", "", SUM($AH$4:AH376))</f>
        <v/>
      </c>
      <c r="AJ376" s="9"/>
    </row>
    <row r="377" spans="1:36">
      <c r="A377" s="7"/>
      <c r="W377" s="1" t="str">
        <f>IF(Table1[[#This Row],[WHRS NET KW TOTAL]]="","", Table1[[#This Row],[WHRS NET KW TOTAL]]-U376)</f>
        <v/>
      </c>
      <c r="X377" s="6">
        <f>Table1[[#This Row],[WHRS  KW TOTAL]]-V376</f>
        <v>0</v>
      </c>
      <c r="Y377" s="6" t="b">
        <f>IF(AND(Table1[[#This Row],[WHRS KW RECOVERED PER DAY]]&lt;&gt;0,Table1[[#This Row],[WHRS RH]]&lt;&gt;0),ROUND(Table1[[#This Row],[WHRS KW RECOVERED PER DAY]]/Table1[[#This Row],[WHRS RH]],1))</f>
        <v>0</v>
      </c>
      <c r="Z377" s="8"/>
      <c r="AA377" s="1"/>
      <c r="AB377" s="1"/>
      <c r="AC377" s="1"/>
      <c r="AD377" s="1"/>
      <c r="AE377" s="1"/>
      <c r="AF377" s="1" t="str">
        <f t="shared" si="17"/>
        <v/>
      </c>
      <c r="AG377" s="1" t="str">
        <f t="shared" si="18"/>
        <v/>
      </c>
      <c r="AH377" s="1" t="str">
        <f t="shared" si="19"/>
        <v/>
      </c>
      <c r="AI377" s="1" t="str">
        <f>IF(AH377="", "", SUM($AH$4:AH377))</f>
        <v/>
      </c>
      <c r="AJ377" s="9"/>
    </row>
    <row r="378" spans="1:36">
      <c r="A378" s="7"/>
      <c r="W378" s="1" t="str">
        <f>IF(Table1[[#This Row],[WHRS NET KW TOTAL]]="","", Table1[[#This Row],[WHRS NET KW TOTAL]]-U377)</f>
        <v/>
      </c>
      <c r="X378" s="6">
        <f>Table1[[#This Row],[WHRS  KW TOTAL]]-V377</f>
        <v>0</v>
      </c>
      <c r="Y378" s="6" t="b">
        <f>IF(AND(Table1[[#This Row],[WHRS KW RECOVERED PER DAY]]&lt;&gt;0,Table1[[#This Row],[WHRS RH]]&lt;&gt;0),ROUND(Table1[[#This Row],[WHRS KW RECOVERED PER DAY]]/Table1[[#This Row],[WHRS RH]],1))</f>
        <v>0</v>
      </c>
      <c r="Z378" s="8"/>
      <c r="AA378" s="1"/>
      <c r="AB378" s="1"/>
      <c r="AC378" s="1"/>
      <c r="AD378" s="1"/>
      <c r="AE378" s="1"/>
      <c r="AF378" s="1" t="str">
        <f t="shared" si="17"/>
        <v/>
      </c>
      <c r="AG378" s="1" t="str">
        <f t="shared" si="18"/>
        <v/>
      </c>
      <c r="AH378" s="1" t="str">
        <f t="shared" si="19"/>
        <v/>
      </c>
      <c r="AI378" s="1" t="str">
        <f>IF(AH378="", "", SUM($AH$4:AH378))</f>
        <v/>
      </c>
      <c r="AJ378" s="9"/>
    </row>
    <row r="379" spans="1:36">
      <c r="A379" s="7"/>
      <c r="W379" s="1" t="str">
        <f>IF(Table1[[#This Row],[WHRS NET KW TOTAL]]="","", Table1[[#This Row],[WHRS NET KW TOTAL]]-U378)</f>
        <v/>
      </c>
      <c r="X379" s="6">
        <f>Table1[[#This Row],[WHRS  KW TOTAL]]-V378</f>
        <v>0</v>
      </c>
      <c r="Y379" s="6" t="b">
        <f>IF(AND(Table1[[#This Row],[WHRS KW RECOVERED PER DAY]]&lt;&gt;0,Table1[[#This Row],[WHRS RH]]&lt;&gt;0),ROUND(Table1[[#This Row],[WHRS KW RECOVERED PER DAY]]/Table1[[#This Row],[WHRS RH]],1))</f>
        <v>0</v>
      </c>
      <c r="Z379" s="8"/>
      <c r="AA379" s="1"/>
      <c r="AB379" s="1"/>
      <c r="AC379" s="1"/>
      <c r="AD379" s="1"/>
      <c r="AE379" s="1"/>
      <c r="AF379" s="1" t="str">
        <f t="shared" si="17"/>
        <v/>
      </c>
      <c r="AG379" s="1" t="str">
        <f t="shared" si="18"/>
        <v/>
      </c>
      <c r="AH379" s="1" t="str">
        <f t="shared" si="19"/>
        <v/>
      </c>
      <c r="AI379" s="1" t="str">
        <f>IF(AH379="", "", SUM($AH$4:AH379))</f>
        <v/>
      </c>
      <c r="AJ379" s="9"/>
    </row>
    <row r="380" spans="1:36">
      <c r="A380" s="7"/>
      <c r="W380" s="1" t="str">
        <f>IF(Table1[[#This Row],[WHRS NET KW TOTAL]]="","", Table1[[#This Row],[WHRS NET KW TOTAL]]-U379)</f>
        <v/>
      </c>
      <c r="X380" s="6">
        <f>Table1[[#This Row],[WHRS  KW TOTAL]]-V379</f>
        <v>0</v>
      </c>
      <c r="Y380" s="6" t="b">
        <f>IF(AND(Table1[[#This Row],[WHRS KW RECOVERED PER DAY]]&lt;&gt;0,Table1[[#This Row],[WHRS RH]]&lt;&gt;0),ROUND(Table1[[#This Row],[WHRS KW RECOVERED PER DAY]]/Table1[[#This Row],[WHRS RH]],1))</f>
        <v>0</v>
      </c>
      <c r="Z380" s="8"/>
      <c r="AA380" s="1"/>
      <c r="AB380" s="1"/>
      <c r="AC380" s="1"/>
      <c r="AD380" s="1"/>
      <c r="AE380" s="1"/>
      <c r="AF380" s="1" t="str">
        <f t="shared" si="17"/>
        <v/>
      </c>
      <c r="AG380" s="1" t="str">
        <f t="shared" si="18"/>
        <v/>
      </c>
      <c r="AH380" s="1" t="str">
        <f t="shared" si="19"/>
        <v/>
      </c>
      <c r="AI380" s="1" t="str">
        <f>IF(AH380="", "", SUM($AH$4:AH380))</f>
        <v/>
      </c>
      <c r="AJ380" s="9"/>
    </row>
    <row r="381" spans="1:36">
      <c r="A381" s="7"/>
      <c r="W381" s="1" t="str">
        <f>IF(Table1[[#This Row],[WHRS NET KW TOTAL]]="","", Table1[[#This Row],[WHRS NET KW TOTAL]]-U380)</f>
        <v/>
      </c>
      <c r="X381" s="6">
        <f>Table1[[#This Row],[WHRS  KW TOTAL]]-V380</f>
        <v>0</v>
      </c>
      <c r="Y381" s="6" t="b">
        <f>IF(AND(Table1[[#This Row],[WHRS KW RECOVERED PER DAY]]&lt;&gt;0,Table1[[#This Row],[WHRS RH]]&lt;&gt;0),ROUND(Table1[[#This Row],[WHRS KW RECOVERED PER DAY]]/Table1[[#This Row],[WHRS RH]],1))</f>
        <v>0</v>
      </c>
      <c r="Z381" s="8"/>
      <c r="AA381" s="1"/>
      <c r="AB381" s="1"/>
      <c r="AC381" s="1"/>
      <c r="AD381" s="1"/>
      <c r="AE381" s="1"/>
      <c r="AF381" s="1" t="str">
        <f t="shared" si="17"/>
        <v/>
      </c>
      <c r="AG381" s="1" t="str">
        <f t="shared" si="18"/>
        <v/>
      </c>
      <c r="AH381" s="1" t="str">
        <f t="shared" si="19"/>
        <v/>
      </c>
      <c r="AI381" s="1" t="str">
        <f>IF(AH381="", "", SUM($AH$4:AH381))</f>
        <v/>
      </c>
      <c r="AJ381" s="9"/>
    </row>
    <row r="382" spans="1:36">
      <c r="A382" s="7"/>
      <c r="W382" s="1" t="str">
        <f>IF(Table1[[#This Row],[WHRS NET KW TOTAL]]="","", Table1[[#This Row],[WHRS NET KW TOTAL]]-U381)</f>
        <v/>
      </c>
      <c r="X382" s="6">
        <f>Table1[[#This Row],[WHRS  KW TOTAL]]-V381</f>
        <v>0</v>
      </c>
      <c r="Y382" s="6" t="b">
        <f>IF(AND(Table1[[#This Row],[WHRS KW RECOVERED PER DAY]]&lt;&gt;0,Table1[[#This Row],[WHRS RH]]&lt;&gt;0),ROUND(Table1[[#This Row],[WHRS KW RECOVERED PER DAY]]/Table1[[#This Row],[WHRS RH]],1))</f>
        <v>0</v>
      </c>
      <c r="Z382" s="8"/>
      <c r="AA382" s="1"/>
      <c r="AB382" s="1"/>
      <c r="AC382" s="1"/>
      <c r="AD382" s="1"/>
      <c r="AE382" s="1"/>
      <c r="AF382" s="1" t="str">
        <f t="shared" si="17"/>
        <v/>
      </c>
      <c r="AG382" s="1" t="str">
        <f t="shared" si="18"/>
        <v/>
      </c>
      <c r="AH382" s="1" t="str">
        <f t="shared" si="19"/>
        <v/>
      </c>
      <c r="AI382" s="1" t="str">
        <f>IF(AH382="", "", SUM($AH$4:AH382))</f>
        <v/>
      </c>
      <c r="AJ382" s="9"/>
    </row>
    <row r="383" spans="1:36">
      <c r="A383" s="7"/>
      <c r="W383" s="1" t="str">
        <f>IF(Table1[[#This Row],[WHRS NET KW TOTAL]]="","", Table1[[#This Row],[WHRS NET KW TOTAL]]-U382)</f>
        <v/>
      </c>
      <c r="X383" s="6">
        <f>Table1[[#This Row],[WHRS  KW TOTAL]]-V382</f>
        <v>0</v>
      </c>
      <c r="Y383" s="6" t="b">
        <f>IF(AND(Table1[[#This Row],[WHRS KW RECOVERED PER DAY]]&lt;&gt;0,Table1[[#This Row],[WHRS RH]]&lt;&gt;0),ROUND(Table1[[#This Row],[WHRS KW RECOVERED PER DAY]]/Table1[[#This Row],[WHRS RH]],1))</f>
        <v>0</v>
      </c>
      <c r="Z383" s="8"/>
      <c r="AA383" s="1"/>
      <c r="AB383" s="1"/>
      <c r="AC383" s="1"/>
      <c r="AD383" s="1"/>
      <c r="AE383" s="1"/>
      <c r="AF383" s="1" t="str">
        <f t="shared" si="17"/>
        <v/>
      </c>
      <c r="AG383" s="1" t="str">
        <f t="shared" si="18"/>
        <v/>
      </c>
      <c r="AH383" s="1" t="str">
        <f t="shared" si="19"/>
        <v/>
      </c>
      <c r="AI383" s="1" t="str">
        <f>IF(AH383="", "", SUM($AH$4:AH383))</f>
        <v/>
      </c>
      <c r="AJ383" s="9"/>
    </row>
    <row r="384" spans="1:36">
      <c r="A384" s="7"/>
      <c r="W384" s="1" t="str">
        <f>IF(Table1[[#This Row],[WHRS NET KW TOTAL]]="","", Table1[[#This Row],[WHRS NET KW TOTAL]]-U383)</f>
        <v/>
      </c>
      <c r="X384" s="6">
        <f>Table1[[#This Row],[WHRS  KW TOTAL]]-V383</f>
        <v>0</v>
      </c>
      <c r="Y384" s="6" t="b">
        <f>IF(AND(Table1[[#This Row],[WHRS KW RECOVERED PER DAY]]&lt;&gt;0,Table1[[#This Row],[WHRS RH]]&lt;&gt;0),ROUND(Table1[[#This Row],[WHRS KW RECOVERED PER DAY]]/Table1[[#This Row],[WHRS RH]],1))</f>
        <v>0</v>
      </c>
      <c r="Z384" s="8"/>
      <c r="AA384" s="1"/>
      <c r="AB384" s="1"/>
      <c r="AC384" s="1"/>
      <c r="AD384" s="1"/>
      <c r="AE384" s="1"/>
      <c r="AF384" s="1" t="str">
        <f t="shared" si="17"/>
        <v/>
      </c>
      <c r="AG384" s="1" t="str">
        <f t="shared" si="18"/>
        <v/>
      </c>
      <c r="AH384" s="1" t="str">
        <f t="shared" si="19"/>
        <v/>
      </c>
      <c r="AI384" s="1" t="str">
        <f>IF(AH384="", "", SUM($AH$4:AH384))</f>
        <v/>
      </c>
      <c r="AJ384" s="9"/>
    </row>
    <row r="385" spans="1:36">
      <c r="A385" s="7"/>
      <c r="W385" s="1" t="str">
        <f>IF(Table1[[#This Row],[WHRS NET KW TOTAL]]="","", Table1[[#This Row],[WHRS NET KW TOTAL]]-U384)</f>
        <v/>
      </c>
      <c r="X385" s="6">
        <f>Table1[[#This Row],[WHRS  KW TOTAL]]-V384</f>
        <v>0</v>
      </c>
      <c r="Y385" s="6" t="b">
        <f>IF(AND(Table1[[#This Row],[WHRS KW RECOVERED PER DAY]]&lt;&gt;0,Table1[[#This Row],[WHRS RH]]&lt;&gt;0),ROUND(Table1[[#This Row],[WHRS KW RECOVERED PER DAY]]/Table1[[#This Row],[WHRS RH]],1))</f>
        <v>0</v>
      </c>
      <c r="Z385" s="8"/>
      <c r="AA385" s="1"/>
      <c r="AB385" s="1"/>
      <c r="AC385" s="1"/>
      <c r="AD385" s="1"/>
      <c r="AE385" s="1"/>
      <c r="AF385" s="1" t="str">
        <f t="shared" si="17"/>
        <v/>
      </c>
      <c r="AG385" s="1" t="str">
        <f t="shared" si="18"/>
        <v/>
      </c>
      <c r="AH385" s="1" t="str">
        <f t="shared" si="19"/>
        <v/>
      </c>
      <c r="AI385" s="1" t="str">
        <f>IF(AH385="", "", SUM($AH$4:AH385))</f>
        <v/>
      </c>
      <c r="AJ385" s="9"/>
    </row>
    <row r="386" spans="1:36">
      <c r="A386" s="7"/>
      <c r="W386" s="1" t="str">
        <f>IF(Table1[[#This Row],[WHRS NET KW TOTAL]]="","", Table1[[#This Row],[WHRS NET KW TOTAL]]-U385)</f>
        <v/>
      </c>
      <c r="X386" s="6">
        <f>Table1[[#This Row],[WHRS  KW TOTAL]]-V385</f>
        <v>0</v>
      </c>
      <c r="Y386" s="6" t="b">
        <f>IF(AND(Table1[[#This Row],[WHRS KW RECOVERED PER DAY]]&lt;&gt;0,Table1[[#This Row],[WHRS RH]]&lt;&gt;0),ROUND(Table1[[#This Row],[WHRS KW RECOVERED PER DAY]]/Table1[[#This Row],[WHRS RH]],1))</f>
        <v>0</v>
      </c>
      <c r="Z386" s="8"/>
      <c r="AA386" s="1"/>
      <c r="AB386" s="1"/>
      <c r="AC386" s="1"/>
      <c r="AD386" s="1"/>
      <c r="AE386" s="1"/>
      <c r="AF386" s="1" t="str">
        <f t="shared" si="17"/>
        <v/>
      </c>
      <c r="AG386" s="1" t="str">
        <f t="shared" si="18"/>
        <v/>
      </c>
      <c r="AH386" s="1" t="str">
        <f t="shared" si="19"/>
        <v/>
      </c>
      <c r="AI386" s="1" t="str">
        <f>IF(AH386="", "", SUM($AH$4:AH386))</f>
        <v/>
      </c>
      <c r="AJ386" s="9"/>
    </row>
    <row r="387" spans="1:36">
      <c r="A387" s="7"/>
      <c r="W387" s="1" t="str">
        <f>IF(Table1[[#This Row],[WHRS NET KW TOTAL]]="","", Table1[[#This Row],[WHRS NET KW TOTAL]]-U386)</f>
        <v/>
      </c>
      <c r="X387" s="6">
        <f>Table1[[#This Row],[WHRS  KW TOTAL]]-V386</f>
        <v>0</v>
      </c>
      <c r="Y387" s="6" t="b">
        <f>IF(AND(Table1[[#This Row],[WHRS KW RECOVERED PER DAY]]&lt;&gt;0,Table1[[#This Row],[WHRS RH]]&lt;&gt;0),ROUND(Table1[[#This Row],[WHRS KW RECOVERED PER DAY]]/Table1[[#This Row],[WHRS RH]],1))</f>
        <v>0</v>
      </c>
      <c r="Z387" s="8"/>
      <c r="AA387" s="1"/>
      <c r="AB387" s="1"/>
      <c r="AC387" s="1"/>
      <c r="AD387" s="1"/>
      <c r="AE387" s="1"/>
      <c r="AF387" s="1" t="str">
        <f t="shared" si="17"/>
        <v/>
      </c>
      <c r="AG387" s="1" t="str">
        <f t="shared" si="18"/>
        <v/>
      </c>
      <c r="AH387" s="1" t="str">
        <f t="shared" si="19"/>
        <v/>
      </c>
      <c r="AI387" s="1" t="str">
        <f>IF(AH387="", "", SUM($AH$4:AH387))</f>
        <v/>
      </c>
      <c r="AJ387" s="9"/>
    </row>
    <row r="388" spans="1:36">
      <c r="A388" s="7"/>
      <c r="W388" s="1" t="str">
        <f>IF(Table1[[#This Row],[WHRS NET KW TOTAL]]="","", Table1[[#This Row],[WHRS NET KW TOTAL]]-U387)</f>
        <v/>
      </c>
      <c r="X388" s="6">
        <f>Table1[[#This Row],[WHRS  KW TOTAL]]-V387</f>
        <v>0</v>
      </c>
      <c r="Y388" s="6" t="b">
        <f>IF(AND(Table1[[#This Row],[WHRS KW RECOVERED PER DAY]]&lt;&gt;0,Table1[[#This Row],[WHRS RH]]&lt;&gt;0),ROUND(Table1[[#This Row],[WHRS KW RECOVERED PER DAY]]/Table1[[#This Row],[WHRS RH]],1))</f>
        <v>0</v>
      </c>
      <c r="Z388" s="8"/>
      <c r="AA388" s="1"/>
      <c r="AB388" s="1"/>
      <c r="AC388" s="1"/>
      <c r="AD388" s="1"/>
      <c r="AE388" s="1"/>
      <c r="AF388" s="1" t="str">
        <f t="shared" si="17"/>
        <v/>
      </c>
      <c r="AG388" s="1" t="str">
        <f t="shared" si="18"/>
        <v/>
      </c>
      <c r="AH388" s="1" t="str">
        <f t="shared" si="19"/>
        <v/>
      </c>
      <c r="AI388" s="1" t="str">
        <f>IF(AH388="", "", SUM($AH$4:AH388))</f>
        <v/>
      </c>
      <c r="AJ388" s="9"/>
    </row>
    <row r="389" spans="1:36">
      <c r="A389" s="7"/>
      <c r="W389" s="1" t="str">
        <f>IF(Table1[[#This Row],[WHRS NET KW TOTAL]]="","", Table1[[#This Row],[WHRS NET KW TOTAL]]-U388)</f>
        <v/>
      </c>
      <c r="X389" s="6">
        <f>Table1[[#This Row],[WHRS  KW TOTAL]]-V388</f>
        <v>0</v>
      </c>
      <c r="Y389" s="6" t="b">
        <f>IF(AND(Table1[[#This Row],[WHRS KW RECOVERED PER DAY]]&lt;&gt;0,Table1[[#This Row],[WHRS RH]]&lt;&gt;0),ROUND(Table1[[#This Row],[WHRS KW RECOVERED PER DAY]]/Table1[[#This Row],[WHRS RH]],1))</f>
        <v>0</v>
      </c>
      <c r="Z389" s="8"/>
      <c r="AA389" s="1"/>
      <c r="AB389" s="1"/>
      <c r="AC389" s="1"/>
      <c r="AD389" s="1"/>
      <c r="AE389" s="1"/>
      <c r="AF389" s="1" t="str">
        <f t="shared" ref="AF389:AF452" si="20">IF(TRIM(C389)="", "", IF(TRIM(C389)="LNG", 192.1, 182.4))</f>
        <v/>
      </c>
      <c r="AG389" s="1" t="str">
        <f t="shared" ref="AG389:AG452" si="21">IF(C389="", "", _xlfn.IFS(C389="LNG", 1345, C389="LSMGO", 1280, C389="VLSFO", 820, C389="HSFO", 635, TRUE, ""))</f>
        <v/>
      </c>
      <c r="AH389" s="1" t="str">
        <f t="shared" ref="AH389:AH452" si="22">IF(OR(W389="", AF389="", AG389=""), "", W389 * (AF389 / 1000000) * AG389)</f>
        <v/>
      </c>
      <c r="AI389" s="1" t="str">
        <f>IF(AH389="", "", SUM($AH$4:AH389))</f>
        <v/>
      </c>
      <c r="AJ389" s="9"/>
    </row>
    <row r="390" spans="1:36">
      <c r="A390" s="7"/>
      <c r="W390" s="1" t="str">
        <f>IF(Table1[[#This Row],[WHRS NET KW TOTAL]]="","", Table1[[#This Row],[WHRS NET KW TOTAL]]-U389)</f>
        <v/>
      </c>
      <c r="X390" s="6">
        <f>Table1[[#This Row],[WHRS  KW TOTAL]]-V389</f>
        <v>0</v>
      </c>
      <c r="Y390" s="6" t="b">
        <f>IF(AND(Table1[[#This Row],[WHRS KW RECOVERED PER DAY]]&lt;&gt;0,Table1[[#This Row],[WHRS RH]]&lt;&gt;0),ROUND(Table1[[#This Row],[WHRS KW RECOVERED PER DAY]]/Table1[[#This Row],[WHRS RH]],1))</f>
        <v>0</v>
      </c>
      <c r="Z390" s="8"/>
      <c r="AA390" s="1"/>
      <c r="AB390" s="1"/>
      <c r="AC390" s="1"/>
      <c r="AD390" s="1"/>
      <c r="AE390" s="1"/>
      <c r="AF390" s="1" t="str">
        <f t="shared" si="20"/>
        <v/>
      </c>
      <c r="AG390" s="1" t="str">
        <f t="shared" si="21"/>
        <v/>
      </c>
      <c r="AH390" s="1" t="str">
        <f t="shared" si="22"/>
        <v/>
      </c>
      <c r="AI390" s="1" t="str">
        <f>IF(AH390="", "", SUM($AH$4:AH390))</f>
        <v/>
      </c>
      <c r="AJ390" s="9"/>
    </row>
    <row r="391" spans="1:36">
      <c r="A391" s="7"/>
      <c r="W391" s="1" t="str">
        <f>IF(Table1[[#This Row],[WHRS NET KW TOTAL]]="","", Table1[[#This Row],[WHRS NET KW TOTAL]]-U390)</f>
        <v/>
      </c>
      <c r="X391" s="6">
        <f>Table1[[#This Row],[WHRS  KW TOTAL]]-V390</f>
        <v>0</v>
      </c>
      <c r="Y391" s="6" t="b">
        <f>IF(AND(Table1[[#This Row],[WHRS KW RECOVERED PER DAY]]&lt;&gt;0,Table1[[#This Row],[WHRS RH]]&lt;&gt;0),ROUND(Table1[[#This Row],[WHRS KW RECOVERED PER DAY]]/Table1[[#This Row],[WHRS RH]],1))</f>
        <v>0</v>
      </c>
      <c r="Z391" s="8"/>
      <c r="AA391" s="1"/>
      <c r="AB391" s="1"/>
      <c r="AC391" s="1"/>
      <c r="AD391" s="1"/>
      <c r="AE391" s="1"/>
      <c r="AF391" s="1" t="str">
        <f t="shared" si="20"/>
        <v/>
      </c>
      <c r="AG391" s="1" t="str">
        <f t="shared" si="21"/>
        <v/>
      </c>
      <c r="AH391" s="1" t="str">
        <f t="shared" si="22"/>
        <v/>
      </c>
      <c r="AI391" s="1" t="str">
        <f>IF(AH391="", "", SUM($AH$4:AH391))</f>
        <v/>
      </c>
      <c r="AJ391" s="9"/>
    </row>
    <row r="392" spans="1:36">
      <c r="A392" s="7"/>
      <c r="W392" s="1" t="str">
        <f>IF(Table1[[#This Row],[WHRS NET KW TOTAL]]="","", Table1[[#This Row],[WHRS NET KW TOTAL]]-U391)</f>
        <v/>
      </c>
      <c r="X392" s="6">
        <f>Table1[[#This Row],[WHRS  KW TOTAL]]-V391</f>
        <v>0</v>
      </c>
      <c r="Y392" s="6" t="b">
        <f>IF(AND(Table1[[#This Row],[WHRS KW RECOVERED PER DAY]]&lt;&gt;0,Table1[[#This Row],[WHRS RH]]&lt;&gt;0),ROUND(Table1[[#This Row],[WHRS KW RECOVERED PER DAY]]/Table1[[#This Row],[WHRS RH]],1))</f>
        <v>0</v>
      </c>
      <c r="Z392" s="8"/>
      <c r="AA392" s="1"/>
      <c r="AB392" s="1"/>
      <c r="AC392" s="1"/>
      <c r="AD392" s="1"/>
      <c r="AE392" s="1"/>
      <c r="AF392" s="1" t="str">
        <f t="shared" si="20"/>
        <v/>
      </c>
      <c r="AG392" s="1" t="str">
        <f t="shared" si="21"/>
        <v/>
      </c>
      <c r="AH392" s="1" t="str">
        <f t="shared" si="22"/>
        <v/>
      </c>
      <c r="AI392" s="1" t="str">
        <f>IF(AH392="", "", SUM($AH$4:AH392))</f>
        <v/>
      </c>
      <c r="AJ392" s="9"/>
    </row>
    <row r="393" spans="1:36">
      <c r="A393" s="7"/>
      <c r="W393" s="1" t="str">
        <f>IF(Table1[[#This Row],[WHRS NET KW TOTAL]]="","", Table1[[#This Row],[WHRS NET KW TOTAL]]-U392)</f>
        <v/>
      </c>
      <c r="X393" s="6">
        <f>Table1[[#This Row],[WHRS  KW TOTAL]]-V392</f>
        <v>0</v>
      </c>
      <c r="Y393" s="6" t="b">
        <f>IF(AND(Table1[[#This Row],[WHRS KW RECOVERED PER DAY]]&lt;&gt;0,Table1[[#This Row],[WHRS RH]]&lt;&gt;0),ROUND(Table1[[#This Row],[WHRS KW RECOVERED PER DAY]]/Table1[[#This Row],[WHRS RH]],1))</f>
        <v>0</v>
      </c>
      <c r="Z393" s="8"/>
      <c r="AA393" s="1"/>
      <c r="AB393" s="1"/>
      <c r="AC393" s="1"/>
      <c r="AD393" s="1"/>
      <c r="AE393" s="1"/>
      <c r="AF393" s="1" t="str">
        <f t="shared" si="20"/>
        <v/>
      </c>
      <c r="AG393" s="1" t="str">
        <f t="shared" si="21"/>
        <v/>
      </c>
      <c r="AH393" s="1" t="str">
        <f t="shared" si="22"/>
        <v/>
      </c>
      <c r="AI393" s="1" t="str">
        <f>IF(AH393="", "", SUM($AH$4:AH393))</f>
        <v/>
      </c>
      <c r="AJ393" s="9"/>
    </row>
    <row r="394" spans="1:36">
      <c r="A394" s="7"/>
      <c r="W394" s="1" t="str">
        <f>IF(Table1[[#This Row],[WHRS NET KW TOTAL]]="","", Table1[[#This Row],[WHRS NET KW TOTAL]]-U393)</f>
        <v/>
      </c>
      <c r="X394" s="6">
        <f>Table1[[#This Row],[WHRS  KW TOTAL]]-V393</f>
        <v>0</v>
      </c>
      <c r="Y394" s="6" t="b">
        <f>IF(AND(Table1[[#This Row],[WHRS KW RECOVERED PER DAY]]&lt;&gt;0,Table1[[#This Row],[WHRS RH]]&lt;&gt;0),ROUND(Table1[[#This Row],[WHRS KW RECOVERED PER DAY]]/Table1[[#This Row],[WHRS RH]],1))</f>
        <v>0</v>
      </c>
      <c r="Z394" s="8"/>
      <c r="AA394" s="1"/>
      <c r="AB394" s="1"/>
      <c r="AC394" s="1"/>
      <c r="AD394" s="1"/>
      <c r="AE394" s="1"/>
      <c r="AF394" s="1" t="str">
        <f t="shared" si="20"/>
        <v/>
      </c>
      <c r="AG394" s="1" t="str">
        <f t="shared" si="21"/>
        <v/>
      </c>
      <c r="AH394" s="1" t="str">
        <f t="shared" si="22"/>
        <v/>
      </c>
      <c r="AI394" s="1" t="str">
        <f>IF(AH394="", "", SUM($AH$4:AH394))</f>
        <v/>
      </c>
      <c r="AJ394" s="9"/>
    </row>
    <row r="395" spans="1:36">
      <c r="A395" s="7"/>
      <c r="W395" s="1" t="str">
        <f>IF(Table1[[#This Row],[WHRS NET KW TOTAL]]="","", Table1[[#This Row],[WHRS NET KW TOTAL]]-U394)</f>
        <v/>
      </c>
      <c r="X395" s="6">
        <f>Table1[[#This Row],[WHRS  KW TOTAL]]-V394</f>
        <v>0</v>
      </c>
      <c r="Y395" s="6" t="b">
        <f>IF(AND(Table1[[#This Row],[WHRS KW RECOVERED PER DAY]]&lt;&gt;0,Table1[[#This Row],[WHRS RH]]&lt;&gt;0),ROUND(Table1[[#This Row],[WHRS KW RECOVERED PER DAY]]/Table1[[#This Row],[WHRS RH]],1))</f>
        <v>0</v>
      </c>
      <c r="Z395" s="8"/>
      <c r="AA395" s="1"/>
      <c r="AB395" s="1"/>
      <c r="AC395" s="1"/>
      <c r="AD395" s="1"/>
      <c r="AE395" s="1"/>
      <c r="AF395" s="1" t="str">
        <f t="shared" si="20"/>
        <v/>
      </c>
      <c r="AG395" s="1" t="str">
        <f t="shared" si="21"/>
        <v/>
      </c>
      <c r="AH395" s="1" t="str">
        <f t="shared" si="22"/>
        <v/>
      </c>
      <c r="AI395" s="1" t="str">
        <f>IF(AH395="", "", SUM($AH$4:AH395))</f>
        <v/>
      </c>
      <c r="AJ395" s="9"/>
    </row>
    <row r="396" spans="1:36">
      <c r="A396" s="7"/>
      <c r="W396" s="1" t="str">
        <f>IF(Table1[[#This Row],[WHRS NET KW TOTAL]]="","", Table1[[#This Row],[WHRS NET KW TOTAL]]-U395)</f>
        <v/>
      </c>
      <c r="X396" s="6">
        <f>Table1[[#This Row],[WHRS  KW TOTAL]]-V395</f>
        <v>0</v>
      </c>
      <c r="Y396" s="6" t="b">
        <f>IF(AND(Table1[[#This Row],[WHRS KW RECOVERED PER DAY]]&lt;&gt;0,Table1[[#This Row],[WHRS RH]]&lt;&gt;0),ROUND(Table1[[#This Row],[WHRS KW RECOVERED PER DAY]]/Table1[[#This Row],[WHRS RH]],1))</f>
        <v>0</v>
      </c>
      <c r="Z396" s="8"/>
      <c r="AA396" s="1"/>
      <c r="AB396" s="1"/>
      <c r="AC396" s="1"/>
      <c r="AD396" s="1"/>
      <c r="AE396" s="1"/>
      <c r="AF396" s="1" t="str">
        <f t="shared" si="20"/>
        <v/>
      </c>
      <c r="AG396" s="1" t="str">
        <f t="shared" si="21"/>
        <v/>
      </c>
      <c r="AH396" s="1" t="str">
        <f t="shared" si="22"/>
        <v/>
      </c>
      <c r="AI396" s="1" t="str">
        <f>IF(AH396="", "", SUM($AH$4:AH396))</f>
        <v/>
      </c>
      <c r="AJ396" s="9"/>
    </row>
    <row r="397" spans="1:36">
      <c r="A397" s="7"/>
      <c r="W397" s="1" t="str">
        <f>IF(Table1[[#This Row],[WHRS NET KW TOTAL]]="","", Table1[[#This Row],[WHRS NET KW TOTAL]]-U396)</f>
        <v/>
      </c>
      <c r="X397" s="6">
        <f>Table1[[#This Row],[WHRS  KW TOTAL]]-V396</f>
        <v>0</v>
      </c>
      <c r="Y397" s="6" t="b">
        <f>IF(AND(Table1[[#This Row],[WHRS KW RECOVERED PER DAY]]&lt;&gt;0,Table1[[#This Row],[WHRS RH]]&lt;&gt;0),ROUND(Table1[[#This Row],[WHRS KW RECOVERED PER DAY]]/Table1[[#This Row],[WHRS RH]],1))</f>
        <v>0</v>
      </c>
      <c r="Z397" s="8"/>
      <c r="AA397" s="1"/>
      <c r="AB397" s="1"/>
      <c r="AC397" s="1"/>
      <c r="AD397" s="1"/>
      <c r="AE397" s="1"/>
      <c r="AF397" s="1" t="str">
        <f t="shared" si="20"/>
        <v/>
      </c>
      <c r="AG397" s="1" t="str">
        <f t="shared" si="21"/>
        <v/>
      </c>
      <c r="AH397" s="1" t="str">
        <f t="shared" si="22"/>
        <v/>
      </c>
      <c r="AI397" s="1" t="str">
        <f>IF(AH397="", "", SUM($AH$4:AH397))</f>
        <v/>
      </c>
      <c r="AJ397" s="9"/>
    </row>
    <row r="398" spans="1:36">
      <c r="A398" s="7"/>
      <c r="W398" s="1" t="str">
        <f>IF(Table1[[#This Row],[WHRS NET KW TOTAL]]="","", Table1[[#This Row],[WHRS NET KW TOTAL]]-U397)</f>
        <v/>
      </c>
      <c r="X398" s="6">
        <f>Table1[[#This Row],[WHRS  KW TOTAL]]-V397</f>
        <v>0</v>
      </c>
      <c r="Y398" s="6" t="b">
        <f>IF(AND(Table1[[#This Row],[WHRS KW RECOVERED PER DAY]]&lt;&gt;0,Table1[[#This Row],[WHRS RH]]&lt;&gt;0),ROUND(Table1[[#This Row],[WHRS KW RECOVERED PER DAY]]/Table1[[#This Row],[WHRS RH]],1))</f>
        <v>0</v>
      </c>
      <c r="Z398" s="8"/>
      <c r="AA398" s="1"/>
      <c r="AB398" s="1"/>
      <c r="AC398" s="1"/>
      <c r="AD398" s="1"/>
      <c r="AE398" s="1"/>
      <c r="AF398" s="1" t="str">
        <f t="shared" si="20"/>
        <v/>
      </c>
      <c r="AG398" s="1" t="str">
        <f t="shared" si="21"/>
        <v/>
      </c>
      <c r="AH398" s="1" t="str">
        <f t="shared" si="22"/>
        <v/>
      </c>
      <c r="AI398" s="1" t="str">
        <f>IF(AH398="", "", SUM($AH$4:AH398))</f>
        <v/>
      </c>
      <c r="AJ398" s="9"/>
    </row>
    <row r="399" spans="1:36">
      <c r="A399" s="7"/>
      <c r="W399" s="1" t="str">
        <f>IF(Table1[[#This Row],[WHRS NET KW TOTAL]]="","", Table1[[#This Row],[WHRS NET KW TOTAL]]-U398)</f>
        <v/>
      </c>
      <c r="X399" s="6">
        <f>Table1[[#This Row],[WHRS  KW TOTAL]]-V398</f>
        <v>0</v>
      </c>
      <c r="Y399" s="6" t="b">
        <f>IF(AND(Table1[[#This Row],[WHRS KW RECOVERED PER DAY]]&lt;&gt;0,Table1[[#This Row],[WHRS RH]]&lt;&gt;0),ROUND(Table1[[#This Row],[WHRS KW RECOVERED PER DAY]]/Table1[[#This Row],[WHRS RH]],1))</f>
        <v>0</v>
      </c>
      <c r="Z399" s="8"/>
      <c r="AA399" s="1"/>
      <c r="AB399" s="1"/>
      <c r="AC399" s="1"/>
      <c r="AD399" s="1"/>
      <c r="AE399" s="1"/>
      <c r="AF399" s="1" t="str">
        <f t="shared" si="20"/>
        <v/>
      </c>
      <c r="AG399" s="1" t="str">
        <f t="shared" si="21"/>
        <v/>
      </c>
      <c r="AH399" s="1" t="str">
        <f t="shared" si="22"/>
        <v/>
      </c>
      <c r="AI399" s="1" t="str">
        <f>IF(AH399="", "", SUM($AH$4:AH399))</f>
        <v/>
      </c>
      <c r="AJ399" s="9"/>
    </row>
    <row r="400" spans="1:36">
      <c r="A400" s="7"/>
      <c r="W400" s="1" t="str">
        <f>IF(Table1[[#This Row],[WHRS NET KW TOTAL]]="","", Table1[[#This Row],[WHRS NET KW TOTAL]]-U399)</f>
        <v/>
      </c>
      <c r="X400" s="6">
        <f>Table1[[#This Row],[WHRS  KW TOTAL]]-V399</f>
        <v>0</v>
      </c>
      <c r="Y400" s="6" t="b">
        <f>IF(AND(Table1[[#This Row],[WHRS KW RECOVERED PER DAY]]&lt;&gt;0,Table1[[#This Row],[WHRS RH]]&lt;&gt;0),ROUND(Table1[[#This Row],[WHRS KW RECOVERED PER DAY]]/Table1[[#This Row],[WHRS RH]],1))</f>
        <v>0</v>
      </c>
      <c r="Z400" s="8"/>
      <c r="AA400" s="1"/>
      <c r="AB400" s="1"/>
      <c r="AC400" s="1"/>
      <c r="AD400" s="1"/>
      <c r="AE400" s="1"/>
      <c r="AF400" s="1" t="str">
        <f t="shared" si="20"/>
        <v/>
      </c>
      <c r="AG400" s="1" t="str">
        <f t="shared" si="21"/>
        <v/>
      </c>
      <c r="AH400" s="1" t="str">
        <f t="shared" si="22"/>
        <v/>
      </c>
      <c r="AI400" s="1" t="str">
        <f>IF(AH400="", "", SUM($AH$4:AH400))</f>
        <v/>
      </c>
      <c r="AJ400" s="9"/>
    </row>
    <row r="401" spans="1:36">
      <c r="A401" s="7"/>
      <c r="W401" s="1" t="str">
        <f>IF(Table1[[#This Row],[WHRS NET KW TOTAL]]="","", Table1[[#This Row],[WHRS NET KW TOTAL]]-U400)</f>
        <v/>
      </c>
      <c r="X401" s="6">
        <f>Table1[[#This Row],[WHRS  KW TOTAL]]-V400</f>
        <v>0</v>
      </c>
      <c r="Y401" s="6" t="b">
        <f>IF(AND(Table1[[#This Row],[WHRS KW RECOVERED PER DAY]]&lt;&gt;0,Table1[[#This Row],[WHRS RH]]&lt;&gt;0),ROUND(Table1[[#This Row],[WHRS KW RECOVERED PER DAY]]/Table1[[#This Row],[WHRS RH]],1))</f>
        <v>0</v>
      </c>
      <c r="Z401" s="8"/>
      <c r="AA401" s="1"/>
      <c r="AB401" s="1"/>
      <c r="AC401" s="1"/>
      <c r="AD401" s="1"/>
      <c r="AE401" s="1"/>
      <c r="AF401" s="1" t="str">
        <f t="shared" si="20"/>
        <v/>
      </c>
      <c r="AG401" s="1" t="str">
        <f t="shared" si="21"/>
        <v/>
      </c>
      <c r="AH401" s="1" t="str">
        <f t="shared" si="22"/>
        <v/>
      </c>
      <c r="AI401" s="1" t="str">
        <f>IF(AH401="", "", SUM($AH$4:AH401))</f>
        <v/>
      </c>
      <c r="AJ401" s="9"/>
    </row>
    <row r="402" spans="1:36">
      <c r="A402" s="7"/>
      <c r="W402" s="1" t="str">
        <f>IF(Table1[[#This Row],[WHRS NET KW TOTAL]]="","", Table1[[#This Row],[WHRS NET KW TOTAL]]-U401)</f>
        <v/>
      </c>
      <c r="X402" s="6">
        <f>Table1[[#This Row],[WHRS  KW TOTAL]]-V401</f>
        <v>0</v>
      </c>
      <c r="Y402" s="6" t="b">
        <f>IF(AND(Table1[[#This Row],[WHRS KW RECOVERED PER DAY]]&lt;&gt;0,Table1[[#This Row],[WHRS RH]]&lt;&gt;0),ROUND(Table1[[#This Row],[WHRS KW RECOVERED PER DAY]]/Table1[[#This Row],[WHRS RH]],1))</f>
        <v>0</v>
      </c>
      <c r="Z402" s="8"/>
      <c r="AA402" s="1"/>
      <c r="AB402" s="1"/>
      <c r="AC402" s="1"/>
      <c r="AD402" s="1"/>
      <c r="AE402" s="1"/>
      <c r="AF402" s="1" t="str">
        <f t="shared" si="20"/>
        <v/>
      </c>
      <c r="AG402" s="1" t="str">
        <f t="shared" si="21"/>
        <v/>
      </c>
      <c r="AH402" s="1" t="str">
        <f t="shared" si="22"/>
        <v/>
      </c>
      <c r="AI402" s="1" t="str">
        <f>IF(AH402="", "", SUM($AH$4:AH402))</f>
        <v/>
      </c>
      <c r="AJ402" s="9"/>
    </row>
    <row r="403" spans="1:36">
      <c r="A403" s="7"/>
      <c r="W403" s="1" t="str">
        <f>IF(Table1[[#This Row],[WHRS NET KW TOTAL]]="","", Table1[[#This Row],[WHRS NET KW TOTAL]]-U402)</f>
        <v/>
      </c>
      <c r="X403" s="6">
        <f>Table1[[#This Row],[WHRS  KW TOTAL]]-V402</f>
        <v>0</v>
      </c>
      <c r="Y403" s="6" t="b">
        <f>IF(AND(Table1[[#This Row],[WHRS KW RECOVERED PER DAY]]&lt;&gt;0,Table1[[#This Row],[WHRS RH]]&lt;&gt;0),ROUND(Table1[[#This Row],[WHRS KW RECOVERED PER DAY]]/Table1[[#This Row],[WHRS RH]],1))</f>
        <v>0</v>
      </c>
      <c r="Z403" s="8"/>
      <c r="AA403" s="1"/>
      <c r="AB403" s="1"/>
      <c r="AC403" s="1"/>
      <c r="AD403" s="1"/>
      <c r="AE403" s="1"/>
      <c r="AF403" s="1" t="str">
        <f t="shared" si="20"/>
        <v/>
      </c>
      <c r="AG403" s="1" t="str">
        <f t="shared" si="21"/>
        <v/>
      </c>
      <c r="AH403" s="1" t="str">
        <f t="shared" si="22"/>
        <v/>
      </c>
      <c r="AI403" s="1" t="str">
        <f>IF(AH403="", "", SUM($AH$4:AH403))</f>
        <v/>
      </c>
      <c r="AJ403" s="9"/>
    </row>
    <row r="404" spans="1:36">
      <c r="A404" s="7"/>
      <c r="W404" s="1" t="str">
        <f>IF(Table1[[#This Row],[WHRS NET KW TOTAL]]="","", Table1[[#This Row],[WHRS NET KW TOTAL]]-U403)</f>
        <v/>
      </c>
      <c r="X404" s="6">
        <f>Table1[[#This Row],[WHRS  KW TOTAL]]-V403</f>
        <v>0</v>
      </c>
      <c r="Y404" s="6" t="b">
        <f>IF(AND(Table1[[#This Row],[WHRS KW RECOVERED PER DAY]]&lt;&gt;0,Table1[[#This Row],[WHRS RH]]&lt;&gt;0),ROUND(Table1[[#This Row],[WHRS KW RECOVERED PER DAY]]/Table1[[#This Row],[WHRS RH]],1))</f>
        <v>0</v>
      </c>
      <c r="Z404" s="8"/>
      <c r="AA404" s="1"/>
      <c r="AB404" s="1"/>
      <c r="AC404" s="1"/>
      <c r="AD404" s="1"/>
      <c r="AE404" s="1"/>
      <c r="AF404" s="1" t="str">
        <f t="shared" si="20"/>
        <v/>
      </c>
      <c r="AG404" s="1" t="str">
        <f t="shared" si="21"/>
        <v/>
      </c>
      <c r="AH404" s="1" t="str">
        <f t="shared" si="22"/>
        <v/>
      </c>
      <c r="AI404" s="1" t="str">
        <f>IF(AH404="", "", SUM($AH$4:AH404))</f>
        <v/>
      </c>
      <c r="AJ404" s="9"/>
    </row>
    <row r="405" spans="1:36">
      <c r="A405" s="7"/>
      <c r="W405" s="1" t="str">
        <f>IF(Table1[[#This Row],[WHRS NET KW TOTAL]]="","", Table1[[#This Row],[WHRS NET KW TOTAL]]-U404)</f>
        <v/>
      </c>
      <c r="X405" s="6">
        <f>Table1[[#This Row],[WHRS  KW TOTAL]]-V404</f>
        <v>0</v>
      </c>
      <c r="Y405" s="6" t="b">
        <f>IF(AND(Table1[[#This Row],[WHRS KW RECOVERED PER DAY]]&lt;&gt;0,Table1[[#This Row],[WHRS RH]]&lt;&gt;0),ROUND(Table1[[#This Row],[WHRS KW RECOVERED PER DAY]]/Table1[[#This Row],[WHRS RH]],1))</f>
        <v>0</v>
      </c>
      <c r="Z405" s="8"/>
      <c r="AA405" s="1"/>
      <c r="AB405" s="1"/>
      <c r="AC405" s="1"/>
      <c r="AD405" s="1"/>
      <c r="AE405" s="1"/>
      <c r="AF405" s="1" t="str">
        <f t="shared" si="20"/>
        <v/>
      </c>
      <c r="AG405" s="1" t="str">
        <f t="shared" si="21"/>
        <v/>
      </c>
      <c r="AH405" s="1" t="str">
        <f t="shared" si="22"/>
        <v/>
      </c>
      <c r="AI405" s="1" t="str">
        <f>IF(AH405="", "", SUM($AH$4:AH405))</f>
        <v/>
      </c>
      <c r="AJ405" s="9"/>
    </row>
    <row r="406" spans="1:36">
      <c r="A406" s="7"/>
      <c r="W406" s="1" t="str">
        <f>IF(Table1[[#This Row],[WHRS NET KW TOTAL]]="","", Table1[[#This Row],[WHRS NET KW TOTAL]]-U405)</f>
        <v/>
      </c>
      <c r="X406" s="6">
        <f>Table1[[#This Row],[WHRS  KW TOTAL]]-V405</f>
        <v>0</v>
      </c>
      <c r="Y406" s="6" t="b">
        <f>IF(AND(Table1[[#This Row],[WHRS KW RECOVERED PER DAY]]&lt;&gt;0,Table1[[#This Row],[WHRS RH]]&lt;&gt;0),ROUND(Table1[[#This Row],[WHRS KW RECOVERED PER DAY]]/Table1[[#This Row],[WHRS RH]],1))</f>
        <v>0</v>
      </c>
      <c r="Z406" s="8"/>
      <c r="AA406" s="1"/>
      <c r="AB406" s="1"/>
      <c r="AC406" s="1"/>
      <c r="AD406" s="1"/>
      <c r="AE406" s="1"/>
      <c r="AF406" s="1" t="str">
        <f t="shared" si="20"/>
        <v/>
      </c>
      <c r="AG406" s="1" t="str">
        <f t="shared" si="21"/>
        <v/>
      </c>
      <c r="AH406" s="1" t="str">
        <f t="shared" si="22"/>
        <v/>
      </c>
      <c r="AI406" s="1" t="str">
        <f>IF(AH406="", "", SUM($AH$4:AH406))</f>
        <v/>
      </c>
      <c r="AJ406" s="9"/>
    </row>
    <row r="407" spans="1:36">
      <c r="A407" s="7"/>
      <c r="W407" s="1" t="str">
        <f>IF(Table1[[#This Row],[WHRS NET KW TOTAL]]="","", Table1[[#This Row],[WHRS NET KW TOTAL]]-U406)</f>
        <v/>
      </c>
      <c r="X407" s="6">
        <f>Table1[[#This Row],[WHRS  KW TOTAL]]-V406</f>
        <v>0</v>
      </c>
      <c r="Y407" s="6" t="b">
        <f>IF(AND(Table1[[#This Row],[WHRS KW RECOVERED PER DAY]]&lt;&gt;0,Table1[[#This Row],[WHRS RH]]&lt;&gt;0),ROUND(Table1[[#This Row],[WHRS KW RECOVERED PER DAY]]/Table1[[#This Row],[WHRS RH]],1))</f>
        <v>0</v>
      </c>
      <c r="Z407" s="8"/>
      <c r="AA407" s="1"/>
      <c r="AB407" s="1"/>
      <c r="AC407" s="1"/>
      <c r="AD407" s="1"/>
      <c r="AE407" s="1"/>
      <c r="AF407" s="1" t="str">
        <f t="shared" si="20"/>
        <v/>
      </c>
      <c r="AG407" s="1" t="str">
        <f t="shared" si="21"/>
        <v/>
      </c>
      <c r="AH407" s="1" t="str">
        <f t="shared" si="22"/>
        <v/>
      </c>
      <c r="AI407" s="1" t="str">
        <f>IF(AH407="", "", SUM($AH$4:AH407))</f>
        <v/>
      </c>
      <c r="AJ407" s="9"/>
    </row>
    <row r="408" spans="1:36">
      <c r="A408" s="7"/>
      <c r="W408" s="1" t="str">
        <f>IF(Table1[[#This Row],[WHRS NET KW TOTAL]]="","", Table1[[#This Row],[WHRS NET KW TOTAL]]-U407)</f>
        <v/>
      </c>
      <c r="X408" s="6">
        <f>Table1[[#This Row],[WHRS  KW TOTAL]]-V407</f>
        <v>0</v>
      </c>
      <c r="Y408" s="6" t="b">
        <f>IF(AND(Table1[[#This Row],[WHRS KW RECOVERED PER DAY]]&lt;&gt;0,Table1[[#This Row],[WHRS RH]]&lt;&gt;0),ROUND(Table1[[#This Row],[WHRS KW RECOVERED PER DAY]]/Table1[[#This Row],[WHRS RH]],1))</f>
        <v>0</v>
      </c>
      <c r="Z408" s="8"/>
      <c r="AA408" s="1"/>
      <c r="AB408" s="1"/>
      <c r="AC408" s="1"/>
      <c r="AD408" s="1"/>
      <c r="AE408" s="1"/>
      <c r="AF408" s="1" t="str">
        <f t="shared" si="20"/>
        <v/>
      </c>
      <c r="AG408" s="1" t="str">
        <f t="shared" si="21"/>
        <v/>
      </c>
      <c r="AH408" s="1" t="str">
        <f t="shared" si="22"/>
        <v/>
      </c>
      <c r="AI408" s="1" t="str">
        <f>IF(AH408="", "", SUM($AH$4:AH408))</f>
        <v/>
      </c>
      <c r="AJ408" s="9"/>
    </row>
    <row r="409" spans="1:36">
      <c r="A409" s="7"/>
      <c r="W409" s="1" t="str">
        <f>IF(Table1[[#This Row],[WHRS NET KW TOTAL]]="","", Table1[[#This Row],[WHRS NET KW TOTAL]]-U408)</f>
        <v/>
      </c>
      <c r="X409" s="6">
        <f>Table1[[#This Row],[WHRS  KW TOTAL]]-V408</f>
        <v>0</v>
      </c>
      <c r="Y409" s="6" t="b">
        <f>IF(AND(Table1[[#This Row],[WHRS KW RECOVERED PER DAY]]&lt;&gt;0,Table1[[#This Row],[WHRS RH]]&lt;&gt;0),ROUND(Table1[[#This Row],[WHRS KW RECOVERED PER DAY]]/Table1[[#This Row],[WHRS RH]],1))</f>
        <v>0</v>
      </c>
      <c r="Z409" s="8"/>
      <c r="AA409" s="1"/>
      <c r="AB409" s="1"/>
      <c r="AC409" s="1"/>
      <c r="AD409" s="1"/>
      <c r="AE409" s="1"/>
      <c r="AF409" s="1" t="str">
        <f t="shared" si="20"/>
        <v/>
      </c>
      <c r="AG409" s="1" t="str">
        <f t="shared" si="21"/>
        <v/>
      </c>
      <c r="AH409" s="1" t="str">
        <f t="shared" si="22"/>
        <v/>
      </c>
      <c r="AI409" s="1" t="str">
        <f>IF(AH409="", "", SUM($AH$4:AH409))</f>
        <v/>
      </c>
      <c r="AJ409" s="9"/>
    </row>
    <row r="410" spans="1:36">
      <c r="A410" s="7"/>
      <c r="W410" s="1" t="str">
        <f>IF(Table1[[#This Row],[WHRS NET KW TOTAL]]="","", Table1[[#This Row],[WHRS NET KW TOTAL]]-U409)</f>
        <v/>
      </c>
      <c r="X410" s="6">
        <f>Table1[[#This Row],[WHRS  KW TOTAL]]-V409</f>
        <v>0</v>
      </c>
      <c r="Y410" s="6" t="b">
        <f>IF(AND(Table1[[#This Row],[WHRS KW RECOVERED PER DAY]]&lt;&gt;0,Table1[[#This Row],[WHRS RH]]&lt;&gt;0),ROUND(Table1[[#This Row],[WHRS KW RECOVERED PER DAY]]/Table1[[#This Row],[WHRS RH]],1))</f>
        <v>0</v>
      </c>
      <c r="Z410" s="8"/>
      <c r="AA410" s="1"/>
      <c r="AB410" s="1"/>
      <c r="AC410" s="1"/>
      <c r="AD410" s="1"/>
      <c r="AE410" s="1"/>
      <c r="AF410" s="1" t="str">
        <f t="shared" si="20"/>
        <v/>
      </c>
      <c r="AG410" s="1" t="str">
        <f t="shared" si="21"/>
        <v/>
      </c>
      <c r="AH410" s="1" t="str">
        <f t="shared" si="22"/>
        <v/>
      </c>
      <c r="AI410" s="1" t="str">
        <f>IF(AH410="", "", SUM($AH$4:AH410))</f>
        <v/>
      </c>
      <c r="AJ410" s="9"/>
    </row>
    <row r="411" spans="1:36">
      <c r="A411" s="7"/>
      <c r="W411" s="1" t="str">
        <f>IF(Table1[[#This Row],[WHRS NET KW TOTAL]]="","", Table1[[#This Row],[WHRS NET KW TOTAL]]-U410)</f>
        <v/>
      </c>
      <c r="X411" s="6">
        <f>Table1[[#This Row],[WHRS  KW TOTAL]]-V410</f>
        <v>0</v>
      </c>
      <c r="Y411" s="6" t="b">
        <f>IF(AND(Table1[[#This Row],[WHRS KW RECOVERED PER DAY]]&lt;&gt;0,Table1[[#This Row],[WHRS RH]]&lt;&gt;0),ROUND(Table1[[#This Row],[WHRS KW RECOVERED PER DAY]]/Table1[[#This Row],[WHRS RH]],1))</f>
        <v>0</v>
      </c>
      <c r="Z411" s="8"/>
      <c r="AA411" s="1"/>
      <c r="AB411" s="1"/>
      <c r="AC411" s="1"/>
      <c r="AD411" s="1"/>
      <c r="AE411" s="1"/>
      <c r="AF411" s="1" t="str">
        <f t="shared" si="20"/>
        <v/>
      </c>
      <c r="AG411" s="1" t="str">
        <f t="shared" si="21"/>
        <v/>
      </c>
      <c r="AH411" s="1" t="str">
        <f t="shared" si="22"/>
        <v/>
      </c>
      <c r="AI411" s="1" t="str">
        <f>IF(AH411="", "", SUM($AH$4:AH411))</f>
        <v/>
      </c>
      <c r="AJ411" s="9"/>
    </row>
    <row r="412" spans="1:36">
      <c r="A412" s="7"/>
      <c r="W412" s="1" t="str">
        <f>IF(Table1[[#This Row],[WHRS NET KW TOTAL]]="","", Table1[[#This Row],[WHRS NET KW TOTAL]]-U411)</f>
        <v/>
      </c>
      <c r="X412" s="6">
        <f>Table1[[#This Row],[WHRS  KW TOTAL]]-V411</f>
        <v>0</v>
      </c>
      <c r="Y412" s="6" t="b">
        <f>IF(AND(Table1[[#This Row],[WHRS KW RECOVERED PER DAY]]&lt;&gt;0,Table1[[#This Row],[WHRS RH]]&lt;&gt;0),ROUND(Table1[[#This Row],[WHRS KW RECOVERED PER DAY]]/Table1[[#This Row],[WHRS RH]],1))</f>
        <v>0</v>
      </c>
      <c r="Z412" s="8"/>
      <c r="AA412" s="1"/>
      <c r="AB412" s="1"/>
      <c r="AC412" s="1"/>
      <c r="AD412" s="1"/>
      <c r="AE412" s="1"/>
      <c r="AF412" s="1" t="str">
        <f t="shared" si="20"/>
        <v/>
      </c>
      <c r="AG412" s="1" t="str">
        <f t="shared" si="21"/>
        <v/>
      </c>
      <c r="AH412" s="1" t="str">
        <f t="shared" si="22"/>
        <v/>
      </c>
      <c r="AI412" s="1" t="str">
        <f>IF(AH412="", "", SUM($AH$4:AH412))</f>
        <v/>
      </c>
      <c r="AJ412" s="9"/>
    </row>
    <row r="413" spans="1:36">
      <c r="A413" s="7"/>
      <c r="W413" s="1" t="str">
        <f>IF(Table1[[#This Row],[WHRS NET KW TOTAL]]="","", Table1[[#This Row],[WHRS NET KW TOTAL]]-U412)</f>
        <v/>
      </c>
      <c r="X413" s="6">
        <f>Table1[[#This Row],[WHRS  KW TOTAL]]-V412</f>
        <v>0</v>
      </c>
      <c r="Y413" s="6" t="b">
        <f>IF(AND(Table1[[#This Row],[WHRS KW RECOVERED PER DAY]]&lt;&gt;0,Table1[[#This Row],[WHRS RH]]&lt;&gt;0),ROUND(Table1[[#This Row],[WHRS KW RECOVERED PER DAY]]/Table1[[#This Row],[WHRS RH]],1))</f>
        <v>0</v>
      </c>
      <c r="Z413" s="8"/>
      <c r="AA413" s="1"/>
      <c r="AB413" s="1"/>
      <c r="AC413" s="1"/>
      <c r="AD413" s="1"/>
      <c r="AE413" s="1"/>
      <c r="AF413" s="1" t="str">
        <f t="shared" si="20"/>
        <v/>
      </c>
      <c r="AG413" s="1" t="str">
        <f t="shared" si="21"/>
        <v/>
      </c>
      <c r="AH413" s="1" t="str">
        <f t="shared" si="22"/>
        <v/>
      </c>
      <c r="AI413" s="1" t="str">
        <f>IF(AH413="", "", SUM($AH$4:AH413))</f>
        <v/>
      </c>
      <c r="AJ413" s="9"/>
    </row>
    <row r="414" spans="1:36">
      <c r="A414" s="7"/>
      <c r="W414" s="1" t="str">
        <f>IF(Table1[[#This Row],[WHRS NET KW TOTAL]]="","", Table1[[#This Row],[WHRS NET KW TOTAL]]-U413)</f>
        <v/>
      </c>
      <c r="X414" s="6">
        <f>Table1[[#This Row],[WHRS  KW TOTAL]]-V413</f>
        <v>0</v>
      </c>
      <c r="Y414" s="6" t="b">
        <f>IF(AND(Table1[[#This Row],[WHRS KW RECOVERED PER DAY]]&lt;&gt;0,Table1[[#This Row],[WHRS RH]]&lt;&gt;0),ROUND(Table1[[#This Row],[WHRS KW RECOVERED PER DAY]]/Table1[[#This Row],[WHRS RH]],1))</f>
        <v>0</v>
      </c>
      <c r="Z414" s="8"/>
      <c r="AA414" s="1"/>
      <c r="AB414" s="1"/>
      <c r="AC414" s="1"/>
      <c r="AD414" s="1"/>
      <c r="AE414" s="1"/>
      <c r="AF414" s="1" t="str">
        <f t="shared" si="20"/>
        <v/>
      </c>
      <c r="AG414" s="1" t="str">
        <f t="shared" si="21"/>
        <v/>
      </c>
      <c r="AH414" s="1" t="str">
        <f t="shared" si="22"/>
        <v/>
      </c>
      <c r="AI414" s="1" t="str">
        <f>IF(AH414="", "", SUM($AH$4:AH414))</f>
        <v/>
      </c>
      <c r="AJ414" s="9"/>
    </row>
    <row r="415" spans="1:36">
      <c r="A415" s="7"/>
      <c r="W415" s="1" t="str">
        <f>IF(Table1[[#This Row],[WHRS NET KW TOTAL]]="","", Table1[[#This Row],[WHRS NET KW TOTAL]]-U414)</f>
        <v/>
      </c>
      <c r="X415" s="6">
        <f>Table1[[#This Row],[WHRS  KW TOTAL]]-V414</f>
        <v>0</v>
      </c>
      <c r="Y415" s="6" t="b">
        <f>IF(AND(Table1[[#This Row],[WHRS KW RECOVERED PER DAY]]&lt;&gt;0,Table1[[#This Row],[WHRS RH]]&lt;&gt;0),ROUND(Table1[[#This Row],[WHRS KW RECOVERED PER DAY]]/Table1[[#This Row],[WHRS RH]],1))</f>
        <v>0</v>
      </c>
      <c r="Z415" s="8"/>
      <c r="AA415" s="1"/>
      <c r="AB415" s="1"/>
      <c r="AC415" s="1"/>
      <c r="AD415" s="1"/>
      <c r="AE415" s="1"/>
      <c r="AF415" s="1" t="str">
        <f t="shared" si="20"/>
        <v/>
      </c>
      <c r="AG415" s="1" t="str">
        <f t="shared" si="21"/>
        <v/>
      </c>
      <c r="AH415" s="1" t="str">
        <f t="shared" si="22"/>
        <v/>
      </c>
      <c r="AI415" s="1" t="str">
        <f>IF(AH415="", "", SUM($AH$4:AH415))</f>
        <v/>
      </c>
      <c r="AJ415" s="9"/>
    </row>
    <row r="416" spans="1:36">
      <c r="A416" s="7"/>
      <c r="W416" s="1" t="str">
        <f>IF(Table1[[#This Row],[WHRS NET KW TOTAL]]="","", Table1[[#This Row],[WHRS NET KW TOTAL]]-U415)</f>
        <v/>
      </c>
      <c r="X416" s="6">
        <f>Table1[[#This Row],[WHRS  KW TOTAL]]-V415</f>
        <v>0</v>
      </c>
      <c r="Y416" s="6" t="b">
        <f>IF(AND(Table1[[#This Row],[WHRS KW RECOVERED PER DAY]]&lt;&gt;0,Table1[[#This Row],[WHRS RH]]&lt;&gt;0),ROUND(Table1[[#This Row],[WHRS KW RECOVERED PER DAY]]/Table1[[#This Row],[WHRS RH]],1))</f>
        <v>0</v>
      </c>
      <c r="Z416" s="8"/>
      <c r="AA416" s="1"/>
      <c r="AB416" s="1"/>
      <c r="AC416" s="1"/>
      <c r="AD416" s="1"/>
      <c r="AE416" s="1"/>
      <c r="AF416" s="1" t="str">
        <f t="shared" si="20"/>
        <v/>
      </c>
      <c r="AG416" s="1" t="str">
        <f t="shared" si="21"/>
        <v/>
      </c>
      <c r="AH416" s="1" t="str">
        <f t="shared" si="22"/>
        <v/>
      </c>
      <c r="AI416" s="1" t="str">
        <f>IF(AH416="", "", SUM($AH$4:AH416))</f>
        <v/>
      </c>
      <c r="AJ416" s="9"/>
    </row>
    <row r="417" spans="1:36">
      <c r="A417" s="7"/>
      <c r="W417" s="1" t="str">
        <f>IF(Table1[[#This Row],[WHRS NET KW TOTAL]]="","", Table1[[#This Row],[WHRS NET KW TOTAL]]-U416)</f>
        <v/>
      </c>
      <c r="X417" s="6">
        <f>Table1[[#This Row],[WHRS  KW TOTAL]]-V416</f>
        <v>0</v>
      </c>
      <c r="Y417" s="6" t="b">
        <f>IF(AND(Table1[[#This Row],[WHRS KW RECOVERED PER DAY]]&lt;&gt;0,Table1[[#This Row],[WHRS RH]]&lt;&gt;0),ROUND(Table1[[#This Row],[WHRS KW RECOVERED PER DAY]]/Table1[[#This Row],[WHRS RH]],1))</f>
        <v>0</v>
      </c>
      <c r="Z417" s="8"/>
      <c r="AA417" s="1"/>
      <c r="AB417" s="1"/>
      <c r="AC417" s="1"/>
      <c r="AD417" s="1"/>
      <c r="AE417" s="1"/>
      <c r="AF417" s="1" t="str">
        <f t="shared" si="20"/>
        <v/>
      </c>
      <c r="AG417" s="1" t="str">
        <f t="shared" si="21"/>
        <v/>
      </c>
      <c r="AH417" s="1" t="str">
        <f t="shared" si="22"/>
        <v/>
      </c>
      <c r="AI417" s="1" t="str">
        <f>IF(AH417="", "", SUM($AH$4:AH417))</f>
        <v/>
      </c>
      <c r="AJ417" s="9"/>
    </row>
    <row r="418" spans="1:36">
      <c r="A418" s="7"/>
      <c r="W418" s="1" t="str">
        <f>IF(Table1[[#This Row],[WHRS NET KW TOTAL]]="","", Table1[[#This Row],[WHRS NET KW TOTAL]]-U417)</f>
        <v/>
      </c>
      <c r="X418" s="6">
        <f>Table1[[#This Row],[WHRS  KW TOTAL]]-V417</f>
        <v>0</v>
      </c>
      <c r="Y418" s="6" t="b">
        <f>IF(AND(Table1[[#This Row],[WHRS KW RECOVERED PER DAY]]&lt;&gt;0,Table1[[#This Row],[WHRS RH]]&lt;&gt;0),ROUND(Table1[[#This Row],[WHRS KW RECOVERED PER DAY]]/Table1[[#This Row],[WHRS RH]],1))</f>
        <v>0</v>
      </c>
      <c r="Z418" s="8"/>
      <c r="AA418" s="1"/>
      <c r="AB418" s="1"/>
      <c r="AC418" s="1"/>
      <c r="AD418" s="1"/>
      <c r="AE418" s="1"/>
      <c r="AF418" s="1" t="str">
        <f t="shared" si="20"/>
        <v/>
      </c>
      <c r="AG418" s="1" t="str">
        <f t="shared" si="21"/>
        <v/>
      </c>
      <c r="AH418" s="1" t="str">
        <f t="shared" si="22"/>
        <v/>
      </c>
      <c r="AI418" s="1" t="str">
        <f>IF(AH418="", "", SUM($AH$4:AH418))</f>
        <v/>
      </c>
      <c r="AJ418" s="9"/>
    </row>
    <row r="419" spans="1:36">
      <c r="A419" s="7"/>
      <c r="W419" s="1" t="str">
        <f>IF(Table1[[#This Row],[WHRS NET KW TOTAL]]="","", Table1[[#This Row],[WHRS NET KW TOTAL]]-U418)</f>
        <v/>
      </c>
      <c r="X419" s="6">
        <f>Table1[[#This Row],[WHRS  KW TOTAL]]-V418</f>
        <v>0</v>
      </c>
      <c r="Y419" s="6" t="b">
        <f>IF(AND(Table1[[#This Row],[WHRS KW RECOVERED PER DAY]]&lt;&gt;0,Table1[[#This Row],[WHRS RH]]&lt;&gt;0),ROUND(Table1[[#This Row],[WHRS KW RECOVERED PER DAY]]/Table1[[#This Row],[WHRS RH]],1))</f>
        <v>0</v>
      </c>
      <c r="Z419" s="8"/>
      <c r="AA419" s="1"/>
      <c r="AB419" s="1"/>
      <c r="AC419" s="1"/>
      <c r="AD419" s="1"/>
      <c r="AE419" s="1"/>
      <c r="AF419" s="1" t="str">
        <f t="shared" si="20"/>
        <v/>
      </c>
      <c r="AG419" s="1" t="str">
        <f t="shared" si="21"/>
        <v/>
      </c>
      <c r="AH419" s="1" t="str">
        <f t="shared" si="22"/>
        <v/>
      </c>
      <c r="AI419" s="1" t="str">
        <f>IF(AH419="", "", SUM($AH$4:AH419))</f>
        <v/>
      </c>
      <c r="AJ419" s="9"/>
    </row>
    <row r="420" spans="1:36">
      <c r="A420" s="7"/>
      <c r="W420" s="1" t="str">
        <f>IF(Table1[[#This Row],[WHRS NET KW TOTAL]]="","", Table1[[#This Row],[WHRS NET KW TOTAL]]-U419)</f>
        <v/>
      </c>
      <c r="X420" s="6">
        <f>Table1[[#This Row],[WHRS  KW TOTAL]]-V419</f>
        <v>0</v>
      </c>
      <c r="Y420" s="6" t="b">
        <f>IF(AND(Table1[[#This Row],[WHRS KW RECOVERED PER DAY]]&lt;&gt;0,Table1[[#This Row],[WHRS RH]]&lt;&gt;0),ROUND(Table1[[#This Row],[WHRS KW RECOVERED PER DAY]]/Table1[[#This Row],[WHRS RH]],1))</f>
        <v>0</v>
      </c>
      <c r="Z420" s="8"/>
      <c r="AA420" s="1"/>
      <c r="AB420" s="1"/>
      <c r="AC420" s="1"/>
      <c r="AD420" s="1"/>
      <c r="AE420" s="1"/>
      <c r="AF420" s="1" t="str">
        <f t="shared" si="20"/>
        <v/>
      </c>
      <c r="AG420" s="1" t="str">
        <f t="shared" si="21"/>
        <v/>
      </c>
      <c r="AH420" s="1" t="str">
        <f t="shared" si="22"/>
        <v/>
      </c>
      <c r="AI420" s="1" t="str">
        <f>IF(AH420="", "", SUM($AH$4:AH420))</f>
        <v/>
      </c>
      <c r="AJ420" s="9"/>
    </row>
    <row r="421" spans="1:36">
      <c r="A421" s="7"/>
      <c r="W421" s="1" t="str">
        <f>IF(Table1[[#This Row],[WHRS NET KW TOTAL]]="","", Table1[[#This Row],[WHRS NET KW TOTAL]]-U420)</f>
        <v/>
      </c>
      <c r="X421" s="6">
        <f>Table1[[#This Row],[WHRS  KW TOTAL]]-V420</f>
        <v>0</v>
      </c>
      <c r="Y421" s="6" t="b">
        <f>IF(AND(Table1[[#This Row],[WHRS KW RECOVERED PER DAY]]&lt;&gt;0,Table1[[#This Row],[WHRS RH]]&lt;&gt;0),ROUND(Table1[[#This Row],[WHRS KW RECOVERED PER DAY]]/Table1[[#This Row],[WHRS RH]],1))</f>
        <v>0</v>
      </c>
      <c r="Z421" s="8"/>
      <c r="AA421" s="1"/>
      <c r="AB421" s="1"/>
      <c r="AC421" s="1"/>
      <c r="AD421" s="1"/>
      <c r="AE421" s="1"/>
      <c r="AF421" s="1" t="str">
        <f t="shared" si="20"/>
        <v/>
      </c>
      <c r="AG421" s="1" t="str">
        <f t="shared" si="21"/>
        <v/>
      </c>
      <c r="AH421" s="1" t="str">
        <f t="shared" si="22"/>
        <v/>
      </c>
      <c r="AI421" s="1" t="str">
        <f>IF(AH421="", "", SUM($AH$4:AH421))</f>
        <v/>
      </c>
      <c r="AJ421" s="9"/>
    </row>
    <row r="422" spans="1:36">
      <c r="A422" s="7"/>
      <c r="W422" s="1" t="str">
        <f>IF(Table1[[#This Row],[WHRS NET KW TOTAL]]="","", Table1[[#This Row],[WHRS NET KW TOTAL]]-U421)</f>
        <v/>
      </c>
      <c r="X422" s="6">
        <f>Table1[[#This Row],[WHRS  KW TOTAL]]-V421</f>
        <v>0</v>
      </c>
      <c r="Y422" s="6" t="b">
        <f>IF(AND(Table1[[#This Row],[WHRS KW RECOVERED PER DAY]]&lt;&gt;0,Table1[[#This Row],[WHRS RH]]&lt;&gt;0),ROUND(Table1[[#This Row],[WHRS KW RECOVERED PER DAY]]/Table1[[#This Row],[WHRS RH]],1))</f>
        <v>0</v>
      </c>
      <c r="Z422" s="8"/>
      <c r="AA422" s="1"/>
      <c r="AB422" s="1"/>
      <c r="AC422" s="1"/>
      <c r="AD422" s="1"/>
      <c r="AE422" s="1"/>
      <c r="AF422" s="1" t="str">
        <f t="shared" si="20"/>
        <v/>
      </c>
      <c r="AG422" s="1" t="str">
        <f t="shared" si="21"/>
        <v/>
      </c>
      <c r="AH422" s="1" t="str">
        <f t="shared" si="22"/>
        <v/>
      </c>
      <c r="AI422" s="1" t="str">
        <f>IF(AH422="", "", SUM($AH$4:AH422))</f>
        <v/>
      </c>
      <c r="AJ422" s="9"/>
    </row>
    <row r="423" spans="1:36">
      <c r="A423" s="7"/>
      <c r="W423" s="1" t="str">
        <f>IF(Table1[[#This Row],[WHRS NET KW TOTAL]]="","", Table1[[#This Row],[WHRS NET KW TOTAL]]-U422)</f>
        <v/>
      </c>
      <c r="X423" s="6">
        <f>Table1[[#This Row],[WHRS  KW TOTAL]]-V422</f>
        <v>0</v>
      </c>
      <c r="Y423" s="6" t="b">
        <f>IF(AND(Table1[[#This Row],[WHRS KW RECOVERED PER DAY]]&lt;&gt;0,Table1[[#This Row],[WHRS RH]]&lt;&gt;0),ROUND(Table1[[#This Row],[WHRS KW RECOVERED PER DAY]]/Table1[[#This Row],[WHRS RH]],1))</f>
        <v>0</v>
      </c>
      <c r="Z423" s="8"/>
      <c r="AA423" s="1"/>
      <c r="AB423" s="1"/>
      <c r="AC423" s="1"/>
      <c r="AD423" s="1"/>
      <c r="AE423" s="1"/>
      <c r="AF423" s="1" t="str">
        <f t="shared" si="20"/>
        <v/>
      </c>
      <c r="AG423" s="1" t="str">
        <f t="shared" si="21"/>
        <v/>
      </c>
      <c r="AH423" s="1" t="str">
        <f t="shared" si="22"/>
        <v/>
      </c>
      <c r="AI423" s="1" t="str">
        <f>IF(AH423="", "", SUM($AH$4:AH423))</f>
        <v/>
      </c>
      <c r="AJ423" s="9"/>
    </row>
    <row r="424" spans="1:36">
      <c r="A424" s="7"/>
      <c r="W424" s="1" t="str">
        <f>IF(Table1[[#This Row],[WHRS NET KW TOTAL]]="","", Table1[[#This Row],[WHRS NET KW TOTAL]]-U423)</f>
        <v/>
      </c>
      <c r="X424" s="6">
        <f>Table1[[#This Row],[WHRS  KW TOTAL]]-V423</f>
        <v>0</v>
      </c>
      <c r="Y424" s="6" t="b">
        <f>IF(AND(Table1[[#This Row],[WHRS KW RECOVERED PER DAY]]&lt;&gt;0,Table1[[#This Row],[WHRS RH]]&lt;&gt;0),ROUND(Table1[[#This Row],[WHRS KW RECOVERED PER DAY]]/Table1[[#This Row],[WHRS RH]],1))</f>
        <v>0</v>
      </c>
      <c r="Z424" s="8"/>
      <c r="AA424" s="1"/>
      <c r="AB424" s="1"/>
      <c r="AC424" s="1"/>
      <c r="AD424" s="1"/>
      <c r="AE424" s="1"/>
      <c r="AF424" s="1" t="str">
        <f t="shared" si="20"/>
        <v/>
      </c>
      <c r="AG424" s="1" t="str">
        <f t="shared" si="21"/>
        <v/>
      </c>
      <c r="AH424" s="1" t="str">
        <f t="shared" si="22"/>
        <v/>
      </c>
      <c r="AI424" s="1" t="str">
        <f>IF(AH424="", "", SUM($AH$4:AH424))</f>
        <v/>
      </c>
      <c r="AJ424" s="9"/>
    </row>
    <row r="425" spans="1:36">
      <c r="A425" s="7"/>
      <c r="W425" s="1" t="str">
        <f>IF(Table1[[#This Row],[WHRS NET KW TOTAL]]="","", Table1[[#This Row],[WHRS NET KW TOTAL]]-U424)</f>
        <v/>
      </c>
      <c r="X425" s="6">
        <f>Table1[[#This Row],[WHRS  KW TOTAL]]-V424</f>
        <v>0</v>
      </c>
      <c r="Y425" s="6" t="b">
        <f>IF(AND(Table1[[#This Row],[WHRS KW RECOVERED PER DAY]]&lt;&gt;0,Table1[[#This Row],[WHRS RH]]&lt;&gt;0),ROUND(Table1[[#This Row],[WHRS KW RECOVERED PER DAY]]/Table1[[#This Row],[WHRS RH]],1))</f>
        <v>0</v>
      </c>
      <c r="Z425" s="8"/>
      <c r="AA425" s="1"/>
      <c r="AB425" s="1"/>
      <c r="AC425" s="1"/>
      <c r="AD425" s="1"/>
      <c r="AE425" s="1"/>
      <c r="AF425" s="1" t="str">
        <f t="shared" si="20"/>
        <v/>
      </c>
      <c r="AG425" s="1" t="str">
        <f t="shared" si="21"/>
        <v/>
      </c>
      <c r="AH425" s="1" t="str">
        <f t="shared" si="22"/>
        <v/>
      </c>
      <c r="AI425" s="1" t="str">
        <f>IF(AH425="", "", SUM($AH$4:AH425))</f>
        <v/>
      </c>
      <c r="AJ425" s="9"/>
    </row>
    <row r="426" spans="1:36">
      <c r="A426" s="7"/>
      <c r="W426" s="1" t="str">
        <f>IF(Table1[[#This Row],[WHRS NET KW TOTAL]]="","", Table1[[#This Row],[WHRS NET KW TOTAL]]-U425)</f>
        <v/>
      </c>
      <c r="X426" s="6">
        <f>Table1[[#This Row],[WHRS  KW TOTAL]]-V425</f>
        <v>0</v>
      </c>
      <c r="Y426" s="6" t="b">
        <f>IF(AND(Table1[[#This Row],[WHRS KW RECOVERED PER DAY]]&lt;&gt;0,Table1[[#This Row],[WHRS RH]]&lt;&gt;0),ROUND(Table1[[#This Row],[WHRS KW RECOVERED PER DAY]]/Table1[[#This Row],[WHRS RH]],1))</f>
        <v>0</v>
      </c>
      <c r="Z426" s="8"/>
      <c r="AA426" s="1"/>
      <c r="AB426" s="1"/>
      <c r="AC426" s="1"/>
      <c r="AD426" s="1"/>
      <c r="AE426" s="1"/>
      <c r="AF426" s="1" t="str">
        <f t="shared" si="20"/>
        <v/>
      </c>
      <c r="AG426" s="1" t="str">
        <f t="shared" si="21"/>
        <v/>
      </c>
      <c r="AH426" s="1" t="str">
        <f t="shared" si="22"/>
        <v/>
      </c>
      <c r="AI426" s="1" t="str">
        <f>IF(AH426="", "", SUM($AH$4:AH426))</f>
        <v/>
      </c>
      <c r="AJ426" s="9"/>
    </row>
    <row r="427" spans="1:36">
      <c r="A427" s="7"/>
      <c r="W427" s="1" t="str">
        <f>IF(Table1[[#This Row],[WHRS NET KW TOTAL]]="","", Table1[[#This Row],[WHRS NET KW TOTAL]]-U426)</f>
        <v/>
      </c>
      <c r="X427" s="6">
        <f>Table1[[#This Row],[WHRS  KW TOTAL]]-V426</f>
        <v>0</v>
      </c>
      <c r="Y427" s="6" t="b">
        <f>IF(AND(Table1[[#This Row],[WHRS KW RECOVERED PER DAY]]&lt;&gt;0,Table1[[#This Row],[WHRS RH]]&lt;&gt;0),ROUND(Table1[[#This Row],[WHRS KW RECOVERED PER DAY]]/Table1[[#This Row],[WHRS RH]],1))</f>
        <v>0</v>
      </c>
      <c r="Z427" s="8"/>
      <c r="AA427" s="1"/>
      <c r="AB427" s="1"/>
      <c r="AC427" s="1"/>
      <c r="AD427" s="1"/>
      <c r="AE427" s="1"/>
      <c r="AF427" s="1" t="str">
        <f t="shared" si="20"/>
        <v/>
      </c>
      <c r="AG427" s="1" t="str">
        <f t="shared" si="21"/>
        <v/>
      </c>
      <c r="AH427" s="1" t="str">
        <f t="shared" si="22"/>
        <v/>
      </c>
      <c r="AI427" s="1" t="str">
        <f>IF(AH427="", "", SUM($AH$4:AH427))</f>
        <v/>
      </c>
      <c r="AJ427" s="9"/>
    </row>
    <row r="428" spans="1:36">
      <c r="A428" s="7"/>
      <c r="W428" s="1" t="str">
        <f>IF(Table1[[#This Row],[WHRS NET KW TOTAL]]="","", Table1[[#This Row],[WHRS NET KW TOTAL]]-U427)</f>
        <v/>
      </c>
      <c r="X428" s="6">
        <f>Table1[[#This Row],[WHRS  KW TOTAL]]-V427</f>
        <v>0</v>
      </c>
      <c r="Y428" s="6" t="b">
        <f>IF(AND(Table1[[#This Row],[WHRS KW RECOVERED PER DAY]]&lt;&gt;0,Table1[[#This Row],[WHRS RH]]&lt;&gt;0),ROUND(Table1[[#This Row],[WHRS KW RECOVERED PER DAY]]/Table1[[#This Row],[WHRS RH]],1))</f>
        <v>0</v>
      </c>
      <c r="Z428" s="8"/>
      <c r="AA428" s="1"/>
      <c r="AB428" s="1"/>
      <c r="AC428" s="1"/>
      <c r="AD428" s="1"/>
      <c r="AE428" s="1"/>
      <c r="AF428" s="1" t="str">
        <f t="shared" si="20"/>
        <v/>
      </c>
      <c r="AG428" s="1" t="str">
        <f t="shared" si="21"/>
        <v/>
      </c>
      <c r="AH428" s="1" t="str">
        <f t="shared" si="22"/>
        <v/>
      </c>
      <c r="AI428" s="1" t="str">
        <f>IF(AH428="", "", SUM($AH$4:AH428))</f>
        <v/>
      </c>
      <c r="AJ428" s="9"/>
    </row>
    <row r="429" spans="1:36">
      <c r="A429" s="7"/>
      <c r="W429" s="1" t="str">
        <f>IF(Table1[[#This Row],[WHRS NET KW TOTAL]]="","", Table1[[#This Row],[WHRS NET KW TOTAL]]-U428)</f>
        <v/>
      </c>
      <c r="X429" s="6">
        <f>Table1[[#This Row],[WHRS  KW TOTAL]]-V428</f>
        <v>0</v>
      </c>
      <c r="Y429" s="6" t="b">
        <f>IF(AND(Table1[[#This Row],[WHRS KW RECOVERED PER DAY]]&lt;&gt;0,Table1[[#This Row],[WHRS RH]]&lt;&gt;0),ROUND(Table1[[#This Row],[WHRS KW RECOVERED PER DAY]]/Table1[[#This Row],[WHRS RH]],1))</f>
        <v>0</v>
      </c>
      <c r="Z429" s="8"/>
      <c r="AA429" s="1"/>
      <c r="AB429" s="1"/>
      <c r="AC429" s="1"/>
      <c r="AD429" s="1"/>
      <c r="AE429" s="1"/>
      <c r="AF429" s="1" t="str">
        <f t="shared" si="20"/>
        <v/>
      </c>
      <c r="AG429" s="1" t="str">
        <f t="shared" si="21"/>
        <v/>
      </c>
      <c r="AH429" s="1" t="str">
        <f t="shared" si="22"/>
        <v/>
      </c>
      <c r="AI429" s="1" t="str">
        <f>IF(AH429="", "", SUM($AH$4:AH429))</f>
        <v/>
      </c>
      <c r="AJ429" s="9"/>
    </row>
    <row r="430" spans="1:36">
      <c r="A430" s="7"/>
      <c r="W430" s="1" t="str">
        <f>IF(Table1[[#This Row],[WHRS NET KW TOTAL]]="","", Table1[[#This Row],[WHRS NET KW TOTAL]]-U429)</f>
        <v/>
      </c>
      <c r="X430" s="6">
        <f>Table1[[#This Row],[WHRS  KW TOTAL]]-V429</f>
        <v>0</v>
      </c>
      <c r="Y430" s="6" t="b">
        <f>IF(AND(Table1[[#This Row],[WHRS KW RECOVERED PER DAY]]&lt;&gt;0,Table1[[#This Row],[WHRS RH]]&lt;&gt;0),ROUND(Table1[[#This Row],[WHRS KW RECOVERED PER DAY]]/Table1[[#This Row],[WHRS RH]],1))</f>
        <v>0</v>
      </c>
      <c r="Z430" s="8"/>
      <c r="AA430" s="1"/>
      <c r="AB430" s="1"/>
      <c r="AC430" s="1"/>
      <c r="AD430" s="1"/>
      <c r="AE430" s="1"/>
      <c r="AF430" s="1" t="str">
        <f t="shared" si="20"/>
        <v/>
      </c>
      <c r="AG430" s="1" t="str">
        <f t="shared" si="21"/>
        <v/>
      </c>
      <c r="AH430" s="1" t="str">
        <f t="shared" si="22"/>
        <v/>
      </c>
      <c r="AI430" s="1" t="str">
        <f>IF(AH430="", "", SUM($AH$4:AH430))</f>
        <v/>
      </c>
      <c r="AJ430" s="9"/>
    </row>
    <row r="431" spans="1:36">
      <c r="A431" s="7"/>
      <c r="W431" s="1" t="str">
        <f>IF(Table1[[#This Row],[WHRS NET KW TOTAL]]="","", Table1[[#This Row],[WHRS NET KW TOTAL]]-U430)</f>
        <v/>
      </c>
      <c r="X431" s="6">
        <f>Table1[[#This Row],[WHRS  KW TOTAL]]-V430</f>
        <v>0</v>
      </c>
      <c r="Y431" s="6" t="b">
        <f>IF(AND(Table1[[#This Row],[WHRS KW RECOVERED PER DAY]]&lt;&gt;0,Table1[[#This Row],[WHRS RH]]&lt;&gt;0),ROUND(Table1[[#This Row],[WHRS KW RECOVERED PER DAY]]/Table1[[#This Row],[WHRS RH]],1))</f>
        <v>0</v>
      </c>
      <c r="Z431" s="8"/>
      <c r="AA431" s="1"/>
      <c r="AB431" s="1"/>
      <c r="AC431" s="1"/>
      <c r="AD431" s="1"/>
      <c r="AE431" s="1"/>
      <c r="AF431" s="1" t="str">
        <f t="shared" si="20"/>
        <v/>
      </c>
      <c r="AG431" s="1" t="str">
        <f t="shared" si="21"/>
        <v/>
      </c>
      <c r="AH431" s="1" t="str">
        <f t="shared" si="22"/>
        <v/>
      </c>
      <c r="AI431" s="1" t="str">
        <f>IF(AH431="", "", SUM($AH$4:AH431))</f>
        <v/>
      </c>
      <c r="AJ431" s="9"/>
    </row>
    <row r="432" spans="1:36">
      <c r="A432" s="7"/>
      <c r="W432" s="1" t="str">
        <f>IF(Table1[[#This Row],[WHRS NET KW TOTAL]]="","", Table1[[#This Row],[WHRS NET KW TOTAL]]-U431)</f>
        <v/>
      </c>
      <c r="X432" s="6">
        <f>Table1[[#This Row],[WHRS  KW TOTAL]]-V431</f>
        <v>0</v>
      </c>
      <c r="Y432" s="6" t="b">
        <f>IF(AND(Table1[[#This Row],[WHRS KW RECOVERED PER DAY]]&lt;&gt;0,Table1[[#This Row],[WHRS RH]]&lt;&gt;0),ROUND(Table1[[#This Row],[WHRS KW RECOVERED PER DAY]]/Table1[[#This Row],[WHRS RH]],1))</f>
        <v>0</v>
      </c>
      <c r="Z432" s="8"/>
      <c r="AA432" s="1"/>
      <c r="AB432" s="1"/>
      <c r="AC432" s="1"/>
      <c r="AD432" s="1"/>
      <c r="AE432" s="1"/>
      <c r="AF432" s="1" t="str">
        <f t="shared" si="20"/>
        <v/>
      </c>
      <c r="AG432" s="1" t="str">
        <f t="shared" si="21"/>
        <v/>
      </c>
      <c r="AH432" s="1" t="str">
        <f t="shared" si="22"/>
        <v/>
      </c>
      <c r="AI432" s="1" t="str">
        <f>IF(AH432="", "", SUM($AH$4:AH432))</f>
        <v/>
      </c>
      <c r="AJ432" s="9"/>
    </row>
    <row r="433" spans="1:36">
      <c r="A433" s="7"/>
      <c r="W433" s="1" t="str">
        <f>IF(Table1[[#This Row],[WHRS NET KW TOTAL]]="","", Table1[[#This Row],[WHRS NET KW TOTAL]]-U432)</f>
        <v/>
      </c>
      <c r="X433" s="6">
        <f>Table1[[#This Row],[WHRS  KW TOTAL]]-V432</f>
        <v>0</v>
      </c>
      <c r="Y433" s="6" t="b">
        <f>IF(AND(Table1[[#This Row],[WHRS KW RECOVERED PER DAY]]&lt;&gt;0,Table1[[#This Row],[WHRS RH]]&lt;&gt;0),ROUND(Table1[[#This Row],[WHRS KW RECOVERED PER DAY]]/Table1[[#This Row],[WHRS RH]],1))</f>
        <v>0</v>
      </c>
      <c r="Z433" s="8"/>
      <c r="AA433" s="1"/>
      <c r="AB433" s="1"/>
      <c r="AC433" s="1"/>
      <c r="AD433" s="1"/>
      <c r="AE433" s="1"/>
      <c r="AF433" s="1" t="str">
        <f t="shared" si="20"/>
        <v/>
      </c>
      <c r="AG433" s="1" t="str">
        <f t="shared" si="21"/>
        <v/>
      </c>
      <c r="AH433" s="1" t="str">
        <f t="shared" si="22"/>
        <v/>
      </c>
      <c r="AI433" s="1" t="str">
        <f>IF(AH433="", "", SUM($AH$4:AH433))</f>
        <v/>
      </c>
      <c r="AJ433" s="9"/>
    </row>
    <row r="434" spans="1:36">
      <c r="A434" s="7"/>
      <c r="W434" s="1" t="str">
        <f>IF(Table1[[#This Row],[WHRS NET KW TOTAL]]="","", Table1[[#This Row],[WHRS NET KW TOTAL]]-U433)</f>
        <v/>
      </c>
      <c r="X434" s="6">
        <f>Table1[[#This Row],[WHRS  KW TOTAL]]-V433</f>
        <v>0</v>
      </c>
      <c r="Y434" s="6" t="b">
        <f>IF(AND(Table1[[#This Row],[WHRS KW RECOVERED PER DAY]]&lt;&gt;0,Table1[[#This Row],[WHRS RH]]&lt;&gt;0),ROUND(Table1[[#This Row],[WHRS KW RECOVERED PER DAY]]/Table1[[#This Row],[WHRS RH]],1))</f>
        <v>0</v>
      </c>
      <c r="Z434" s="8"/>
      <c r="AA434" s="1"/>
      <c r="AB434" s="1"/>
      <c r="AC434" s="1"/>
      <c r="AD434" s="1"/>
      <c r="AE434" s="1"/>
      <c r="AF434" s="1" t="str">
        <f t="shared" si="20"/>
        <v/>
      </c>
      <c r="AG434" s="1" t="str">
        <f t="shared" si="21"/>
        <v/>
      </c>
      <c r="AH434" s="1" t="str">
        <f t="shared" si="22"/>
        <v/>
      </c>
      <c r="AI434" s="1" t="str">
        <f>IF(AH434="", "", SUM($AH$4:AH434))</f>
        <v/>
      </c>
      <c r="AJ434" s="9"/>
    </row>
    <row r="435" spans="1:36">
      <c r="A435" s="7"/>
      <c r="W435" s="1" t="str">
        <f>IF(Table1[[#This Row],[WHRS NET KW TOTAL]]="","", Table1[[#This Row],[WHRS NET KW TOTAL]]-U434)</f>
        <v/>
      </c>
      <c r="X435" s="6">
        <f>Table1[[#This Row],[WHRS  KW TOTAL]]-V434</f>
        <v>0</v>
      </c>
      <c r="Y435" s="6" t="b">
        <f>IF(AND(Table1[[#This Row],[WHRS KW RECOVERED PER DAY]]&lt;&gt;0,Table1[[#This Row],[WHRS RH]]&lt;&gt;0),ROUND(Table1[[#This Row],[WHRS KW RECOVERED PER DAY]]/Table1[[#This Row],[WHRS RH]],1))</f>
        <v>0</v>
      </c>
      <c r="Z435" s="8"/>
      <c r="AA435" s="1"/>
      <c r="AB435" s="1"/>
      <c r="AC435" s="1"/>
      <c r="AD435" s="1"/>
      <c r="AE435" s="1"/>
      <c r="AF435" s="1" t="str">
        <f t="shared" si="20"/>
        <v/>
      </c>
      <c r="AG435" s="1" t="str">
        <f t="shared" si="21"/>
        <v/>
      </c>
      <c r="AH435" s="1" t="str">
        <f t="shared" si="22"/>
        <v/>
      </c>
      <c r="AI435" s="1" t="str">
        <f>IF(AH435="", "", SUM($AH$4:AH435))</f>
        <v/>
      </c>
      <c r="AJ435" s="9"/>
    </row>
    <row r="436" spans="1:36">
      <c r="A436" s="7"/>
      <c r="W436" s="1" t="str">
        <f>IF(Table1[[#This Row],[WHRS NET KW TOTAL]]="","", Table1[[#This Row],[WHRS NET KW TOTAL]]-U435)</f>
        <v/>
      </c>
      <c r="X436" s="6">
        <f>Table1[[#This Row],[WHRS  KW TOTAL]]-V435</f>
        <v>0</v>
      </c>
      <c r="Y436" s="6" t="b">
        <f>IF(AND(Table1[[#This Row],[WHRS KW RECOVERED PER DAY]]&lt;&gt;0,Table1[[#This Row],[WHRS RH]]&lt;&gt;0),ROUND(Table1[[#This Row],[WHRS KW RECOVERED PER DAY]]/Table1[[#This Row],[WHRS RH]],1))</f>
        <v>0</v>
      </c>
      <c r="Z436" s="8"/>
      <c r="AA436" s="1"/>
      <c r="AB436" s="1"/>
      <c r="AC436" s="1"/>
      <c r="AD436" s="1"/>
      <c r="AE436" s="1"/>
      <c r="AF436" s="1" t="str">
        <f t="shared" si="20"/>
        <v/>
      </c>
      <c r="AG436" s="1" t="str">
        <f t="shared" si="21"/>
        <v/>
      </c>
      <c r="AH436" s="1" t="str">
        <f t="shared" si="22"/>
        <v/>
      </c>
      <c r="AI436" s="1" t="str">
        <f>IF(AH436="", "", SUM($AH$4:AH436))</f>
        <v/>
      </c>
      <c r="AJ436" s="9"/>
    </row>
    <row r="437" spans="1:36">
      <c r="A437" s="7"/>
      <c r="W437" s="1" t="str">
        <f>IF(Table1[[#This Row],[WHRS NET KW TOTAL]]="","", Table1[[#This Row],[WHRS NET KW TOTAL]]-U436)</f>
        <v/>
      </c>
      <c r="X437" s="6">
        <f>Table1[[#This Row],[WHRS  KW TOTAL]]-V436</f>
        <v>0</v>
      </c>
      <c r="Y437" s="6" t="b">
        <f>IF(AND(Table1[[#This Row],[WHRS KW RECOVERED PER DAY]]&lt;&gt;0,Table1[[#This Row],[WHRS RH]]&lt;&gt;0),ROUND(Table1[[#This Row],[WHRS KW RECOVERED PER DAY]]/Table1[[#This Row],[WHRS RH]],1))</f>
        <v>0</v>
      </c>
      <c r="Z437" s="8"/>
      <c r="AA437" s="1"/>
      <c r="AB437" s="1"/>
      <c r="AC437" s="1"/>
      <c r="AD437" s="1"/>
      <c r="AE437" s="1"/>
      <c r="AF437" s="1" t="str">
        <f t="shared" si="20"/>
        <v/>
      </c>
      <c r="AG437" s="1" t="str">
        <f t="shared" si="21"/>
        <v/>
      </c>
      <c r="AH437" s="1" t="str">
        <f t="shared" si="22"/>
        <v/>
      </c>
      <c r="AI437" s="1" t="str">
        <f>IF(AH437="", "", SUM($AH$4:AH437))</f>
        <v/>
      </c>
      <c r="AJ437" s="9"/>
    </row>
    <row r="438" spans="1:36">
      <c r="A438" s="7"/>
      <c r="W438" s="1" t="str">
        <f>IF(Table1[[#This Row],[WHRS NET KW TOTAL]]="","", Table1[[#This Row],[WHRS NET KW TOTAL]]-U437)</f>
        <v/>
      </c>
      <c r="X438" s="6">
        <f>Table1[[#This Row],[WHRS  KW TOTAL]]-V437</f>
        <v>0</v>
      </c>
      <c r="Y438" s="6" t="b">
        <f>IF(AND(Table1[[#This Row],[WHRS KW RECOVERED PER DAY]]&lt;&gt;0,Table1[[#This Row],[WHRS RH]]&lt;&gt;0),ROUND(Table1[[#This Row],[WHRS KW RECOVERED PER DAY]]/Table1[[#This Row],[WHRS RH]],1))</f>
        <v>0</v>
      </c>
      <c r="Z438" s="8"/>
      <c r="AA438" s="1"/>
      <c r="AB438" s="1"/>
      <c r="AC438" s="1"/>
      <c r="AD438" s="1"/>
      <c r="AE438" s="1"/>
      <c r="AF438" s="1" t="str">
        <f t="shared" si="20"/>
        <v/>
      </c>
      <c r="AG438" s="1" t="str">
        <f t="shared" si="21"/>
        <v/>
      </c>
      <c r="AH438" s="1" t="str">
        <f t="shared" si="22"/>
        <v/>
      </c>
      <c r="AI438" s="1" t="str">
        <f>IF(AH438="", "", SUM($AH$4:AH438))</f>
        <v/>
      </c>
      <c r="AJ438" s="9"/>
    </row>
    <row r="439" spans="1:36">
      <c r="A439" s="7"/>
      <c r="W439" s="1" t="str">
        <f>IF(Table1[[#This Row],[WHRS NET KW TOTAL]]="","", Table1[[#This Row],[WHRS NET KW TOTAL]]-U438)</f>
        <v/>
      </c>
      <c r="X439" s="6">
        <f>Table1[[#This Row],[WHRS  KW TOTAL]]-V438</f>
        <v>0</v>
      </c>
      <c r="Y439" s="6" t="b">
        <f>IF(AND(Table1[[#This Row],[WHRS KW RECOVERED PER DAY]]&lt;&gt;0,Table1[[#This Row],[WHRS RH]]&lt;&gt;0),ROUND(Table1[[#This Row],[WHRS KW RECOVERED PER DAY]]/Table1[[#This Row],[WHRS RH]],1))</f>
        <v>0</v>
      </c>
      <c r="Z439" s="8"/>
      <c r="AA439" s="1"/>
      <c r="AB439" s="1"/>
      <c r="AC439" s="1"/>
      <c r="AD439" s="1"/>
      <c r="AE439" s="1"/>
      <c r="AF439" s="1" t="str">
        <f t="shared" si="20"/>
        <v/>
      </c>
      <c r="AG439" s="1" t="str">
        <f t="shared" si="21"/>
        <v/>
      </c>
      <c r="AH439" s="1" t="str">
        <f t="shared" si="22"/>
        <v/>
      </c>
      <c r="AI439" s="1" t="str">
        <f>IF(AH439="", "", SUM($AH$4:AH439))</f>
        <v/>
      </c>
      <c r="AJ439" s="9"/>
    </row>
    <row r="440" spans="1:36">
      <c r="A440" s="7"/>
      <c r="W440" s="1" t="str">
        <f>IF(Table1[[#This Row],[WHRS NET KW TOTAL]]="","", Table1[[#This Row],[WHRS NET KW TOTAL]]-U439)</f>
        <v/>
      </c>
      <c r="X440" s="6">
        <f>Table1[[#This Row],[WHRS  KW TOTAL]]-V439</f>
        <v>0</v>
      </c>
      <c r="Y440" s="6" t="b">
        <f>IF(AND(Table1[[#This Row],[WHRS KW RECOVERED PER DAY]]&lt;&gt;0,Table1[[#This Row],[WHRS RH]]&lt;&gt;0),ROUND(Table1[[#This Row],[WHRS KW RECOVERED PER DAY]]/Table1[[#This Row],[WHRS RH]],1))</f>
        <v>0</v>
      </c>
      <c r="Z440" s="8"/>
      <c r="AA440" s="1"/>
      <c r="AB440" s="1"/>
      <c r="AC440" s="1"/>
      <c r="AD440" s="1"/>
      <c r="AE440" s="1"/>
      <c r="AF440" s="1" t="str">
        <f t="shared" si="20"/>
        <v/>
      </c>
      <c r="AG440" s="1" t="str">
        <f t="shared" si="21"/>
        <v/>
      </c>
      <c r="AH440" s="1" t="str">
        <f t="shared" si="22"/>
        <v/>
      </c>
      <c r="AI440" s="1" t="str">
        <f>IF(AH440="", "", SUM($AH$4:AH440))</f>
        <v/>
      </c>
      <c r="AJ440" s="9"/>
    </row>
    <row r="441" spans="1:36">
      <c r="A441" s="7"/>
      <c r="W441" s="1" t="str">
        <f>IF(Table1[[#This Row],[WHRS NET KW TOTAL]]="","", Table1[[#This Row],[WHRS NET KW TOTAL]]-U440)</f>
        <v/>
      </c>
      <c r="X441" s="6">
        <f>Table1[[#This Row],[WHRS  KW TOTAL]]-V440</f>
        <v>0</v>
      </c>
      <c r="Y441" s="6" t="b">
        <f>IF(AND(Table1[[#This Row],[WHRS KW RECOVERED PER DAY]]&lt;&gt;0,Table1[[#This Row],[WHRS RH]]&lt;&gt;0),ROUND(Table1[[#This Row],[WHRS KW RECOVERED PER DAY]]/Table1[[#This Row],[WHRS RH]],1))</f>
        <v>0</v>
      </c>
      <c r="Z441" s="8"/>
      <c r="AA441" s="1"/>
      <c r="AB441" s="1"/>
      <c r="AC441" s="1"/>
      <c r="AD441" s="1"/>
      <c r="AE441" s="1"/>
      <c r="AF441" s="1" t="str">
        <f t="shared" si="20"/>
        <v/>
      </c>
      <c r="AG441" s="1" t="str">
        <f t="shared" si="21"/>
        <v/>
      </c>
      <c r="AH441" s="1" t="str">
        <f t="shared" si="22"/>
        <v/>
      </c>
      <c r="AI441" s="1" t="str">
        <f>IF(AH441="", "", SUM($AH$4:AH441))</f>
        <v/>
      </c>
      <c r="AJ441" s="9"/>
    </row>
    <row r="442" spans="1:36">
      <c r="A442" s="7"/>
      <c r="W442" s="1" t="str">
        <f>IF(Table1[[#This Row],[WHRS NET KW TOTAL]]="","", Table1[[#This Row],[WHRS NET KW TOTAL]]-U441)</f>
        <v/>
      </c>
      <c r="X442" s="6">
        <f>Table1[[#This Row],[WHRS  KW TOTAL]]-V441</f>
        <v>0</v>
      </c>
      <c r="Y442" s="6" t="b">
        <f>IF(AND(Table1[[#This Row],[WHRS KW RECOVERED PER DAY]]&lt;&gt;0,Table1[[#This Row],[WHRS RH]]&lt;&gt;0),ROUND(Table1[[#This Row],[WHRS KW RECOVERED PER DAY]]/Table1[[#This Row],[WHRS RH]],1))</f>
        <v>0</v>
      </c>
      <c r="Z442" s="8"/>
      <c r="AA442" s="1"/>
      <c r="AB442" s="1"/>
      <c r="AC442" s="1"/>
      <c r="AD442" s="1"/>
      <c r="AE442" s="1"/>
      <c r="AF442" s="1" t="str">
        <f t="shared" si="20"/>
        <v/>
      </c>
      <c r="AG442" s="1" t="str">
        <f t="shared" si="21"/>
        <v/>
      </c>
      <c r="AH442" s="1" t="str">
        <f t="shared" si="22"/>
        <v/>
      </c>
      <c r="AI442" s="1" t="str">
        <f>IF(AH442="", "", SUM($AH$4:AH442))</f>
        <v/>
      </c>
      <c r="AJ442" s="9"/>
    </row>
    <row r="443" spans="1:36">
      <c r="A443" s="7"/>
      <c r="W443" s="1" t="str">
        <f>IF(Table1[[#This Row],[WHRS NET KW TOTAL]]="","", Table1[[#This Row],[WHRS NET KW TOTAL]]-U442)</f>
        <v/>
      </c>
      <c r="X443" s="6">
        <f>Table1[[#This Row],[WHRS  KW TOTAL]]-V442</f>
        <v>0</v>
      </c>
      <c r="Y443" s="6" t="b">
        <f>IF(AND(Table1[[#This Row],[WHRS KW RECOVERED PER DAY]]&lt;&gt;0,Table1[[#This Row],[WHRS RH]]&lt;&gt;0),ROUND(Table1[[#This Row],[WHRS KW RECOVERED PER DAY]]/Table1[[#This Row],[WHRS RH]],1))</f>
        <v>0</v>
      </c>
      <c r="Z443" s="8"/>
      <c r="AA443" s="1"/>
      <c r="AB443" s="1"/>
      <c r="AC443" s="1"/>
      <c r="AD443" s="1"/>
      <c r="AE443" s="1"/>
      <c r="AF443" s="1" t="str">
        <f t="shared" si="20"/>
        <v/>
      </c>
      <c r="AG443" s="1" t="str">
        <f t="shared" si="21"/>
        <v/>
      </c>
      <c r="AH443" s="1" t="str">
        <f t="shared" si="22"/>
        <v/>
      </c>
      <c r="AI443" s="1" t="str">
        <f>IF(AH443="", "", SUM($AH$4:AH443))</f>
        <v/>
      </c>
      <c r="AJ443" s="9"/>
    </row>
    <row r="444" spans="1:36">
      <c r="A444" s="7"/>
      <c r="W444" s="1" t="str">
        <f>IF(Table1[[#This Row],[WHRS NET KW TOTAL]]="","", Table1[[#This Row],[WHRS NET KW TOTAL]]-U443)</f>
        <v/>
      </c>
      <c r="X444" s="6">
        <f>Table1[[#This Row],[WHRS  KW TOTAL]]-V443</f>
        <v>0</v>
      </c>
      <c r="Y444" s="6" t="b">
        <f>IF(AND(Table1[[#This Row],[WHRS KW RECOVERED PER DAY]]&lt;&gt;0,Table1[[#This Row],[WHRS RH]]&lt;&gt;0),ROUND(Table1[[#This Row],[WHRS KW RECOVERED PER DAY]]/Table1[[#This Row],[WHRS RH]],1))</f>
        <v>0</v>
      </c>
      <c r="Z444" s="8"/>
      <c r="AA444" s="1"/>
      <c r="AB444" s="1"/>
      <c r="AC444" s="1"/>
      <c r="AD444" s="1"/>
      <c r="AE444" s="1"/>
      <c r="AF444" s="1" t="str">
        <f t="shared" si="20"/>
        <v/>
      </c>
      <c r="AG444" s="1" t="str">
        <f t="shared" si="21"/>
        <v/>
      </c>
      <c r="AH444" s="1" t="str">
        <f t="shared" si="22"/>
        <v/>
      </c>
      <c r="AI444" s="1" t="str">
        <f>IF(AH444="", "", SUM($AH$4:AH444))</f>
        <v/>
      </c>
      <c r="AJ444" s="9"/>
    </row>
    <row r="445" spans="1:36">
      <c r="A445" s="7"/>
      <c r="W445" s="1" t="str">
        <f>IF(Table1[[#This Row],[WHRS NET KW TOTAL]]="","", Table1[[#This Row],[WHRS NET KW TOTAL]]-U444)</f>
        <v/>
      </c>
      <c r="X445" s="6">
        <f>Table1[[#This Row],[WHRS  KW TOTAL]]-V444</f>
        <v>0</v>
      </c>
      <c r="Y445" s="6" t="b">
        <f>IF(AND(Table1[[#This Row],[WHRS KW RECOVERED PER DAY]]&lt;&gt;0,Table1[[#This Row],[WHRS RH]]&lt;&gt;0),ROUND(Table1[[#This Row],[WHRS KW RECOVERED PER DAY]]/Table1[[#This Row],[WHRS RH]],1))</f>
        <v>0</v>
      </c>
      <c r="Z445" s="8"/>
      <c r="AA445" s="1"/>
      <c r="AB445" s="1"/>
      <c r="AC445" s="1"/>
      <c r="AD445" s="1"/>
      <c r="AE445" s="1"/>
      <c r="AF445" s="1" t="str">
        <f t="shared" si="20"/>
        <v/>
      </c>
      <c r="AG445" s="1" t="str">
        <f t="shared" si="21"/>
        <v/>
      </c>
      <c r="AH445" s="1" t="str">
        <f t="shared" si="22"/>
        <v/>
      </c>
      <c r="AI445" s="1" t="str">
        <f>IF(AH445="", "", SUM($AH$4:AH445))</f>
        <v/>
      </c>
      <c r="AJ445" s="9"/>
    </row>
    <row r="446" spans="1:36">
      <c r="A446" s="7"/>
      <c r="W446" s="1" t="str">
        <f>IF(Table1[[#This Row],[WHRS NET KW TOTAL]]="","", Table1[[#This Row],[WHRS NET KW TOTAL]]-U445)</f>
        <v/>
      </c>
      <c r="X446" s="6">
        <f>Table1[[#This Row],[WHRS  KW TOTAL]]-V445</f>
        <v>0</v>
      </c>
      <c r="Y446" s="6" t="b">
        <f>IF(AND(Table1[[#This Row],[WHRS KW RECOVERED PER DAY]]&lt;&gt;0,Table1[[#This Row],[WHRS RH]]&lt;&gt;0),ROUND(Table1[[#This Row],[WHRS KW RECOVERED PER DAY]]/Table1[[#This Row],[WHRS RH]],1))</f>
        <v>0</v>
      </c>
      <c r="Z446" s="8"/>
      <c r="AA446" s="1"/>
      <c r="AB446" s="1"/>
      <c r="AC446" s="1"/>
      <c r="AD446" s="1"/>
      <c r="AE446" s="1"/>
      <c r="AF446" s="1" t="str">
        <f t="shared" si="20"/>
        <v/>
      </c>
      <c r="AG446" s="1" t="str">
        <f t="shared" si="21"/>
        <v/>
      </c>
      <c r="AH446" s="1" t="str">
        <f t="shared" si="22"/>
        <v/>
      </c>
      <c r="AI446" s="1" t="str">
        <f>IF(AH446="", "", SUM($AH$4:AH446))</f>
        <v/>
      </c>
      <c r="AJ446" s="9"/>
    </row>
    <row r="447" spans="1:36">
      <c r="A447" s="7"/>
      <c r="W447" s="1" t="str">
        <f>IF(Table1[[#This Row],[WHRS NET KW TOTAL]]="","", Table1[[#This Row],[WHRS NET KW TOTAL]]-U446)</f>
        <v/>
      </c>
      <c r="X447" s="6">
        <f>Table1[[#This Row],[WHRS  KW TOTAL]]-V446</f>
        <v>0</v>
      </c>
      <c r="Y447" s="6" t="b">
        <f>IF(AND(Table1[[#This Row],[WHRS KW RECOVERED PER DAY]]&lt;&gt;0,Table1[[#This Row],[WHRS RH]]&lt;&gt;0),ROUND(Table1[[#This Row],[WHRS KW RECOVERED PER DAY]]/Table1[[#This Row],[WHRS RH]],1))</f>
        <v>0</v>
      </c>
      <c r="Z447" s="8"/>
      <c r="AA447" s="1"/>
      <c r="AB447" s="1"/>
      <c r="AC447" s="1"/>
      <c r="AD447" s="1"/>
      <c r="AE447" s="1"/>
      <c r="AF447" s="1" t="str">
        <f t="shared" si="20"/>
        <v/>
      </c>
      <c r="AG447" s="1" t="str">
        <f t="shared" si="21"/>
        <v/>
      </c>
      <c r="AH447" s="1" t="str">
        <f t="shared" si="22"/>
        <v/>
      </c>
      <c r="AI447" s="1" t="str">
        <f>IF(AH447="", "", SUM($AH$4:AH447))</f>
        <v/>
      </c>
      <c r="AJ447" s="9"/>
    </row>
    <row r="448" spans="1:36">
      <c r="A448" s="7"/>
      <c r="W448" s="1" t="str">
        <f>IF(Table1[[#This Row],[WHRS NET KW TOTAL]]="","", Table1[[#This Row],[WHRS NET KW TOTAL]]-U447)</f>
        <v/>
      </c>
      <c r="X448" s="6">
        <f>Table1[[#This Row],[WHRS  KW TOTAL]]-V447</f>
        <v>0</v>
      </c>
      <c r="Y448" s="6" t="b">
        <f>IF(AND(Table1[[#This Row],[WHRS KW RECOVERED PER DAY]]&lt;&gt;0,Table1[[#This Row],[WHRS RH]]&lt;&gt;0),ROUND(Table1[[#This Row],[WHRS KW RECOVERED PER DAY]]/Table1[[#This Row],[WHRS RH]],1))</f>
        <v>0</v>
      </c>
      <c r="Z448" s="8"/>
      <c r="AA448" s="1"/>
      <c r="AB448" s="1"/>
      <c r="AC448" s="1"/>
      <c r="AD448" s="1"/>
      <c r="AE448" s="1"/>
      <c r="AF448" s="1" t="str">
        <f t="shared" si="20"/>
        <v/>
      </c>
      <c r="AG448" s="1" t="str">
        <f t="shared" si="21"/>
        <v/>
      </c>
      <c r="AH448" s="1" t="str">
        <f t="shared" si="22"/>
        <v/>
      </c>
      <c r="AI448" s="1" t="str">
        <f>IF(AH448="", "", SUM($AH$4:AH448))</f>
        <v/>
      </c>
      <c r="AJ448" s="9"/>
    </row>
    <row r="449" spans="1:36">
      <c r="A449" s="7"/>
      <c r="W449" s="1" t="str">
        <f>IF(Table1[[#This Row],[WHRS NET KW TOTAL]]="","", Table1[[#This Row],[WHRS NET KW TOTAL]]-U448)</f>
        <v/>
      </c>
      <c r="X449" s="6">
        <f>Table1[[#This Row],[WHRS  KW TOTAL]]-V448</f>
        <v>0</v>
      </c>
      <c r="Y449" s="6" t="b">
        <f>IF(AND(Table1[[#This Row],[WHRS KW RECOVERED PER DAY]]&lt;&gt;0,Table1[[#This Row],[WHRS RH]]&lt;&gt;0),ROUND(Table1[[#This Row],[WHRS KW RECOVERED PER DAY]]/Table1[[#This Row],[WHRS RH]],1))</f>
        <v>0</v>
      </c>
      <c r="Z449" s="8"/>
      <c r="AA449" s="1"/>
      <c r="AB449" s="1"/>
      <c r="AC449" s="1"/>
      <c r="AD449" s="1"/>
      <c r="AE449" s="1"/>
      <c r="AF449" s="1" t="str">
        <f t="shared" si="20"/>
        <v/>
      </c>
      <c r="AG449" s="1" t="str">
        <f t="shared" si="21"/>
        <v/>
      </c>
      <c r="AH449" s="1" t="str">
        <f t="shared" si="22"/>
        <v/>
      </c>
      <c r="AI449" s="1" t="str">
        <f>IF(AH449="", "", SUM($AH$4:AH449))</f>
        <v/>
      </c>
      <c r="AJ449" s="9"/>
    </row>
    <row r="450" spans="1:36">
      <c r="A450" s="7"/>
      <c r="W450" s="1" t="str">
        <f>IF(Table1[[#This Row],[WHRS NET KW TOTAL]]="","", Table1[[#This Row],[WHRS NET KW TOTAL]]-U449)</f>
        <v/>
      </c>
      <c r="X450" s="6">
        <f>Table1[[#This Row],[WHRS  KW TOTAL]]-V449</f>
        <v>0</v>
      </c>
      <c r="Y450" s="6" t="b">
        <f>IF(AND(Table1[[#This Row],[WHRS KW RECOVERED PER DAY]]&lt;&gt;0,Table1[[#This Row],[WHRS RH]]&lt;&gt;0),ROUND(Table1[[#This Row],[WHRS KW RECOVERED PER DAY]]/Table1[[#This Row],[WHRS RH]],1))</f>
        <v>0</v>
      </c>
      <c r="Z450" s="8"/>
      <c r="AA450" s="1"/>
      <c r="AB450" s="1"/>
      <c r="AC450" s="1"/>
      <c r="AD450" s="1"/>
      <c r="AE450" s="1"/>
      <c r="AF450" s="1" t="str">
        <f t="shared" si="20"/>
        <v/>
      </c>
      <c r="AG450" s="1" t="str">
        <f t="shared" si="21"/>
        <v/>
      </c>
      <c r="AH450" s="1" t="str">
        <f t="shared" si="22"/>
        <v/>
      </c>
      <c r="AI450" s="1" t="str">
        <f>IF(AH450="", "", SUM($AH$4:AH450))</f>
        <v/>
      </c>
      <c r="AJ450" s="9"/>
    </row>
    <row r="451" spans="1:36">
      <c r="A451" s="7"/>
      <c r="W451" s="1" t="str">
        <f>IF(Table1[[#This Row],[WHRS NET KW TOTAL]]="","", Table1[[#This Row],[WHRS NET KW TOTAL]]-U450)</f>
        <v/>
      </c>
      <c r="X451" s="6">
        <f>Table1[[#This Row],[WHRS  KW TOTAL]]-V450</f>
        <v>0</v>
      </c>
      <c r="Y451" s="6" t="b">
        <f>IF(AND(Table1[[#This Row],[WHRS KW RECOVERED PER DAY]]&lt;&gt;0,Table1[[#This Row],[WHRS RH]]&lt;&gt;0),ROUND(Table1[[#This Row],[WHRS KW RECOVERED PER DAY]]/Table1[[#This Row],[WHRS RH]],1))</f>
        <v>0</v>
      </c>
      <c r="Z451" s="8"/>
      <c r="AA451" s="1"/>
      <c r="AB451" s="1"/>
      <c r="AC451" s="1"/>
      <c r="AD451" s="1"/>
      <c r="AE451" s="1"/>
      <c r="AF451" s="1" t="str">
        <f t="shared" si="20"/>
        <v/>
      </c>
      <c r="AG451" s="1" t="str">
        <f t="shared" si="21"/>
        <v/>
      </c>
      <c r="AH451" s="1" t="str">
        <f t="shared" si="22"/>
        <v/>
      </c>
      <c r="AI451" s="1" t="str">
        <f>IF(AH451="", "", SUM($AH$4:AH451))</f>
        <v/>
      </c>
      <c r="AJ451" s="9"/>
    </row>
    <row r="452" spans="1:36">
      <c r="A452" s="7"/>
      <c r="W452" s="1" t="str">
        <f>IF(Table1[[#This Row],[WHRS NET KW TOTAL]]="","", Table1[[#This Row],[WHRS NET KW TOTAL]]-U451)</f>
        <v/>
      </c>
      <c r="X452" s="6">
        <f>Table1[[#This Row],[WHRS  KW TOTAL]]-V451</f>
        <v>0</v>
      </c>
      <c r="Y452" s="6" t="b">
        <f>IF(AND(Table1[[#This Row],[WHRS KW RECOVERED PER DAY]]&lt;&gt;0,Table1[[#This Row],[WHRS RH]]&lt;&gt;0),ROUND(Table1[[#This Row],[WHRS KW RECOVERED PER DAY]]/Table1[[#This Row],[WHRS RH]],1))</f>
        <v>0</v>
      </c>
      <c r="Z452" s="8"/>
      <c r="AA452" s="1"/>
      <c r="AB452" s="1"/>
      <c r="AC452" s="1"/>
      <c r="AD452" s="1"/>
      <c r="AE452" s="1"/>
      <c r="AF452" s="1" t="str">
        <f t="shared" si="20"/>
        <v/>
      </c>
      <c r="AG452" s="1" t="str">
        <f t="shared" si="21"/>
        <v/>
      </c>
      <c r="AH452" s="1" t="str">
        <f t="shared" si="22"/>
        <v/>
      </c>
      <c r="AI452" s="1" t="str">
        <f>IF(AH452="", "", SUM($AH$4:AH452))</f>
        <v/>
      </c>
      <c r="AJ452" s="9"/>
    </row>
    <row r="453" spans="1:36">
      <c r="A453" s="7"/>
      <c r="W453" s="1" t="str">
        <f>IF(Table1[[#This Row],[WHRS NET KW TOTAL]]="","", Table1[[#This Row],[WHRS NET KW TOTAL]]-U452)</f>
        <v/>
      </c>
      <c r="X453" s="6">
        <f>Table1[[#This Row],[WHRS  KW TOTAL]]-V452</f>
        <v>0</v>
      </c>
      <c r="Y453" s="6" t="b">
        <f>IF(AND(Table1[[#This Row],[WHRS KW RECOVERED PER DAY]]&lt;&gt;0,Table1[[#This Row],[WHRS RH]]&lt;&gt;0),ROUND(Table1[[#This Row],[WHRS KW RECOVERED PER DAY]]/Table1[[#This Row],[WHRS RH]],1))</f>
        <v>0</v>
      </c>
      <c r="Z453" s="8"/>
      <c r="AA453" s="1"/>
      <c r="AB453" s="1"/>
      <c r="AC453" s="1"/>
      <c r="AD453" s="1"/>
      <c r="AE453" s="1"/>
      <c r="AF453" s="1" t="str">
        <f t="shared" ref="AF453:AF496" si="23">IF(TRIM(C453)="", "", IF(TRIM(C453)="LNG", 192.1, 182.4))</f>
        <v/>
      </c>
      <c r="AG453" s="1" t="str">
        <f t="shared" ref="AG453:AG516" si="24">IF(C453="", "", _xlfn.IFS(C453="LNG", 1345, C453="LSMGO", 1280, C453="VLSFO", 820, C453="HSFO", 635, TRUE, ""))</f>
        <v/>
      </c>
      <c r="AH453" s="1" t="str">
        <f t="shared" ref="AH453:AH516" si="25">IF(OR(W453="", AF453="", AG453=""), "", W453 * (AF453 / 1000000) * AG453)</f>
        <v/>
      </c>
      <c r="AI453" s="1" t="str">
        <f>IF(AH453="", "", SUM($AH$4:AH453))</f>
        <v/>
      </c>
      <c r="AJ453" s="9"/>
    </row>
    <row r="454" spans="1:36">
      <c r="A454" s="7"/>
      <c r="W454" s="1" t="str">
        <f>IF(Table1[[#This Row],[WHRS NET KW TOTAL]]="","", Table1[[#This Row],[WHRS NET KW TOTAL]]-U453)</f>
        <v/>
      </c>
      <c r="X454" s="6">
        <f>Table1[[#This Row],[WHRS  KW TOTAL]]-V453</f>
        <v>0</v>
      </c>
      <c r="Y454" s="6" t="b">
        <f>IF(AND(Table1[[#This Row],[WHRS KW RECOVERED PER DAY]]&lt;&gt;0,Table1[[#This Row],[WHRS RH]]&lt;&gt;0),ROUND(Table1[[#This Row],[WHRS KW RECOVERED PER DAY]]/Table1[[#This Row],[WHRS RH]],1))</f>
        <v>0</v>
      </c>
      <c r="Z454" s="8"/>
      <c r="AA454" s="1"/>
      <c r="AB454" s="1"/>
      <c r="AC454" s="1"/>
      <c r="AD454" s="1"/>
      <c r="AE454" s="1"/>
      <c r="AF454" s="1" t="str">
        <f t="shared" si="23"/>
        <v/>
      </c>
      <c r="AG454" s="1" t="str">
        <f t="shared" si="24"/>
        <v/>
      </c>
      <c r="AH454" s="1" t="str">
        <f t="shared" si="25"/>
        <v/>
      </c>
      <c r="AI454" s="1" t="str">
        <f>IF(AH454="", "", SUM($AH$4:AH454))</f>
        <v/>
      </c>
      <c r="AJ454" s="9"/>
    </row>
    <row r="455" spans="1:36">
      <c r="A455" s="7"/>
      <c r="W455" s="1" t="str">
        <f>IF(Table1[[#This Row],[WHRS NET KW TOTAL]]="","", Table1[[#This Row],[WHRS NET KW TOTAL]]-U454)</f>
        <v/>
      </c>
      <c r="X455" s="6">
        <f>Table1[[#This Row],[WHRS  KW TOTAL]]-V454</f>
        <v>0</v>
      </c>
      <c r="Y455" s="6" t="b">
        <f>IF(AND(Table1[[#This Row],[WHRS KW RECOVERED PER DAY]]&lt;&gt;0,Table1[[#This Row],[WHRS RH]]&lt;&gt;0),ROUND(Table1[[#This Row],[WHRS KW RECOVERED PER DAY]]/Table1[[#This Row],[WHRS RH]],1))</f>
        <v>0</v>
      </c>
      <c r="Z455" s="8"/>
      <c r="AA455" s="1"/>
      <c r="AB455" s="1"/>
      <c r="AC455" s="1"/>
      <c r="AD455" s="1"/>
      <c r="AE455" s="1"/>
      <c r="AF455" s="1" t="str">
        <f t="shared" si="23"/>
        <v/>
      </c>
      <c r="AG455" s="1" t="str">
        <f t="shared" si="24"/>
        <v/>
      </c>
      <c r="AH455" s="1" t="str">
        <f t="shared" si="25"/>
        <v/>
      </c>
      <c r="AI455" s="1" t="str">
        <f>IF(AH455="", "", SUM($AH$4:AH455))</f>
        <v/>
      </c>
      <c r="AJ455" s="9"/>
    </row>
    <row r="456" spans="1:36">
      <c r="A456" s="7"/>
      <c r="W456" s="1" t="str">
        <f>IF(Table1[[#This Row],[WHRS NET KW TOTAL]]="","", Table1[[#This Row],[WHRS NET KW TOTAL]]-U455)</f>
        <v/>
      </c>
      <c r="X456" s="6">
        <f>Table1[[#This Row],[WHRS  KW TOTAL]]-V455</f>
        <v>0</v>
      </c>
      <c r="Y456" s="6" t="b">
        <f>IF(AND(Table1[[#This Row],[WHRS KW RECOVERED PER DAY]]&lt;&gt;0,Table1[[#This Row],[WHRS RH]]&lt;&gt;0),ROUND(Table1[[#This Row],[WHRS KW RECOVERED PER DAY]]/Table1[[#This Row],[WHRS RH]],1))</f>
        <v>0</v>
      </c>
      <c r="Z456" s="8"/>
      <c r="AA456" s="1"/>
      <c r="AB456" s="1"/>
      <c r="AC456" s="1"/>
      <c r="AD456" s="1"/>
      <c r="AE456" s="1"/>
      <c r="AF456" s="1" t="str">
        <f t="shared" si="23"/>
        <v/>
      </c>
      <c r="AG456" s="1" t="str">
        <f t="shared" si="24"/>
        <v/>
      </c>
      <c r="AH456" s="1" t="str">
        <f t="shared" si="25"/>
        <v/>
      </c>
      <c r="AI456" s="1" t="str">
        <f>IF(AH456="", "", SUM($AH$4:AH456))</f>
        <v/>
      </c>
      <c r="AJ456" s="9"/>
    </row>
    <row r="457" spans="1:36">
      <c r="A457" s="7"/>
      <c r="W457" s="1" t="str">
        <f>IF(Table1[[#This Row],[WHRS NET KW TOTAL]]="","", Table1[[#This Row],[WHRS NET KW TOTAL]]-U456)</f>
        <v/>
      </c>
      <c r="X457" s="6">
        <f>Table1[[#This Row],[WHRS  KW TOTAL]]-V456</f>
        <v>0</v>
      </c>
      <c r="Y457" s="6" t="b">
        <f>IF(AND(Table1[[#This Row],[WHRS KW RECOVERED PER DAY]]&lt;&gt;0,Table1[[#This Row],[WHRS RH]]&lt;&gt;0),ROUND(Table1[[#This Row],[WHRS KW RECOVERED PER DAY]]/Table1[[#This Row],[WHRS RH]],1))</f>
        <v>0</v>
      </c>
      <c r="Z457" s="8"/>
      <c r="AA457" s="1"/>
      <c r="AB457" s="1"/>
      <c r="AC457" s="1"/>
      <c r="AD457" s="1"/>
      <c r="AE457" s="1"/>
      <c r="AF457" s="1" t="str">
        <f t="shared" si="23"/>
        <v/>
      </c>
      <c r="AG457" s="1" t="str">
        <f t="shared" si="24"/>
        <v/>
      </c>
      <c r="AH457" s="1" t="str">
        <f t="shared" si="25"/>
        <v/>
      </c>
      <c r="AI457" s="1" t="str">
        <f>IF(AH457="", "", SUM($AH$4:AH457))</f>
        <v/>
      </c>
      <c r="AJ457" s="9"/>
    </row>
    <row r="458" spans="1:36">
      <c r="A458" s="7"/>
      <c r="W458" s="1" t="str">
        <f>IF(Table1[[#This Row],[WHRS NET KW TOTAL]]="","", Table1[[#This Row],[WHRS NET KW TOTAL]]-U457)</f>
        <v/>
      </c>
      <c r="X458" s="6">
        <f>Table1[[#This Row],[WHRS  KW TOTAL]]-V457</f>
        <v>0</v>
      </c>
      <c r="Y458" s="6" t="b">
        <f>IF(AND(Table1[[#This Row],[WHRS KW RECOVERED PER DAY]]&lt;&gt;0,Table1[[#This Row],[WHRS RH]]&lt;&gt;0),ROUND(Table1[[#This Row],[WHRS KW RECOVERED PER DAY]]/Table1[[#This Row],[WHRS RH]],1))</f>
        <v>0</v>
      </c>
      <c r="Z458" s="8"/>
      <c r="AA458" s="1"/>
      <c r="AB458" s="1"/>
      <c r="AC458" s="1"/>
      <c r="AD458" s="1"/>
      <c r="AE458" s="1"/>
      <c r="AF458" s="1" t="str">
        <f t="shared" si="23"/>
        <v/>
      </c>
      <c r="AG458" s="1" t="str">
        <f t="shared" si="24"/>
        <v/>
      </c>
      <c r="AH458" s="1" t="str">
        <f t="shared" si="25"/>
        <v/>
      </c>
      <c r="AI458" s="1" t="str">
        <f>IF(AH458="", "", SUM($AH$4:AH458))</f>
        <v/>
      </c>
      <c r="AJ458" s="9"/>
    </row>
    <row r="459" spans="1:36">
      <c r="A459" s="7"/>
      <c r="W459" s="1" t="str">
        <f>IF(Table1[[#This Row],[WHRS NET KW TOTAL]]="","", Table1[[#This Row],[WHRS NET KW TOTAL]]-U458)</f>
        <v/>
      </c>
      <c r="X459" s="6">
        <f>Table1[[#This Row],[WHRS  KW TOTAL]]-V458</f>
        <v>0</v>
      </c>
      <c r="Y459" s="6" t="b">
        <f>IF(AND(Table1[[#This Row],[WHRS KW RECOVERED PER DAY]]&lt;&gt;0,Table1[[#This Row],[WHRS RH]]&lt;&gt;0),ROUND(Table1[[#This Row],[WHRS KW RECOVERED PER DAY]]/Table1[[#This Row],[WHRS RH]],1))</f>
        <v>0</v>
      </c>
      <c r="Z459" s="8"/>
      <c r="AA459" s="1"/>
      <c r="AB459" s="1"/>
      <c r="AC459" s="1"/>
      <c r="AD459" s="1"/>
      <c r="AE459" s="1"/>
      <c r="AF459" s="1" t="str">
        <f t="shared" si="23"/>
        <v/>
      </c>
      <c r="AG459" s="1" t="str">
        <f t="shared" si="24"/>
        <v/>
      </c>
      <c r="AH459" s="1" t="str">
        <f t="shared" si="25"/>
        <v/>
      </c>
      <c r="AI459" s="1" t="str">
        <f>IF(AH459="", "", SUM($AH$4:AH459))</f>
        <v/>
      </c>
      <c r="AJ459" s="9"/>
    </row>
    <row r="460" spans="1:36">
      <c r="A460" s="7"/>
      <c r="W460" s="1" t="str">
        <f>IF(Table1[[#This Row],[WHRS NET KW TOTAL]]="","", Table1[[#This Row],[WHRS NET KW TOTAL]]-U459)</f>
        <v/>
      </c>
      <c r="X460" s="6">
        <f>Table1[[#This Row],[WHRS  KW TOTAL]]-V459</f>
        <v>0</v>
      </c>
      <c r="Y460" s="6" t="b">
        <f>IF(AND(Table1[[#This Row],[WHRS KW RECOVERED PER DAY]]&lt;&gt;0,Table1[[#This Row],[WHRS RH]]&lt;&gt;0),ROUND(Table1[[#This Row],[WHRS KW RECOVERED PER DAY]]/Table1[[#This Row],[WHRS RH]],1))</f>
        <v>0</v>
      </c>
      <c r="Z460" s="8"/>
      <c r="AA460" s="1"/>
      <c r="AB460" s="1"/>
      <c r="AC460" s="1"/>
      <c r="AD460" s="1"/>
      <c r="AE460" s="1"/>
      <c r="AF460" s="1" t="str">
        <f t="shared" si="23"/>
        <v/>
      </c>
      <c r="AG460" s="1" t="str">
        <f t="shared" si="24"/>
        <v/>
      </c>
      <c r="AH460" s="1" t="str">
        <f t="shared" si="25"/>
        <v/>
      </c>
      <c r="AI460" s="1" t="str">
        <f>IF(AH460="", "", SUM($AH$4:AH460))</f>
        <v/>
      </c>
      <c r="AJ460" s="9"/>
    </row>
    <row r="461" spans="1:36">
      <c r="A461" s="7"/>
      <c r="W461" s="1" t="str">
        <f>IF(Table1[[#This Row],[WHRS NET KW TOTAL]]="","", Table1[[#This Row],[WHRS NET KW TOTAL]]-U460)</f>
        <v/>
      </c>
      <c r="X461" s="6">
        <f>Table1[[#This Row],[WHRS  KW TOTAL]]-V460</f>
        <v>0</v>
      </c>
      <c r="Y461" s="6" t="b">
        <f>IF(AND(Table1[[#This Row],[WHRS KW RECOVERED PER DAY]]&lt;&gt;0,Table1[[#This Row],[WHRS RH]]&lt;&gt;0),ROUND(Table1[[#This Row],[WHRS KW RECOVERED PER DAY]]/Table1[[#This Row],[WHRS RH]],1))</f>
        <v>0</v>
      </c>
      <c r="Z461" s="8"/>
      <c r="AA461" s="1"/>
      <c r="AB461" s="1"/>
      <c r="AC461" s="1"/>
      <c r="AD461" s="1"/>
      <c r="AE461" s="1"/>
      <c r="AF461" s="1" t="str">
        <f t="shared" si="23"/>
        <v/>
      </c>
      <c r="AG461" s="1" t="str">
        <f t="shared" si="24"/>
        <v/>
      </c>
      <c r="AH461" s="1" t="str">
        <f t="shared" si="25"/>
        <v/>
      </c>
      <c r="AI461" s="1" t="str">
        <f>IF(AH461="", "", SUM($AH$4:AH461))</f>
        <v/>
      </c>
      <c r="AJ461" s="9"/>
    </row>
    <row r="462" spans="1:36">
      <c r="A462" s="7"/>
      <c r="W462" s="1" t="str">
        <f>IF(Table1[[#This Row],[WHRS NET KW TOTAL]]="","", Table1[[#This Row],[WHRS NET KW TOTAL]]-U461)</f>
        <v/>
      </c>
      <c r="X462" s="6">
        <f>Table1[[#This Row],[WHRS  KW TOTAL]]-V461</f>
        <v>0</v>
      </c>
      <c r="Y462" s="6" t="b">
        <f>IF(AND(Table1[[#This Row],[WHRS KW RECOVERED PER DAY]]&lt;&gt;0,Table1[[#This Row],[WHRS RH]]&lt;&gt;0),ROUND(Table1[[#This Row],[WHRS KW RECOVERED PER DAY]]/Table1[[#This Row],[WHRS RH]],1))</f>
        <v>0</v>
      </c>
      <c r="Z462" s="8"/>
      <c r="AA462" s="1"/>
      <c r="AB462" s="1"/>
      <c r="AC462" s="1"/>
      <c r="AD462" s="1"/>
      <c r="AE462" s="1"/>
      <c r="AF462" s="1" t="str">
        <f t="shared" si="23"/>
        <v/>
      </c>
      <c r="AG462" s="1" t="str">
        <f t="shared" si="24"/>
        <v/>
      </c>
      <c r="AH462" s="1" t="str">
        <f t="shared" si="25"/>
        <v/>
      </c>
      <c r="AI462" s="1" t="str">
        <f>IF(AH462="", "", SUM($AH$4:AH462))</f>
        <v/>
      </c>
      <c r="AJ462" s="9"/>
    </row>
    <row r="463" spans="1:36">
      <c r="A463" s="7"/>
      <c r="W463" s="1" t="str">
        <f>IF(Table1[[#This Row],[WHRS NET KW TOTAL]]="","", Table1[[#This Row],[WHRS NET KW TOTAL]]-U462)</f>
        <v/>
      </c>
      <c r="X463" s="6">
        <f>Table1[[#This Row],[WHRS  KW TOTAL]]-V462</f>
        <v>0</v>
      </c>
      <c r="Y463" s="6" t="b">
        <f>IF(AND(Table1[[#This Row],[WHRS KW RECOVERED PER DAY]]&lt;&gt;0,Table1[[#This Row],[WHRS RH]]&lt;&gt;0),ROUND(Table1[[#This Row],[WHRS KW RECOVERED PER DAY]]/Table1[[#This Row],[WHRS RH]],1))</f>
        <v>0</v>
      </c>
      <c r="Z463" s="8"/>
      <c r="AA463" s="1"/>
      <c r="AB463" s="1"/>
      <c r="AC463" s="1"/>
      <c r="AD463" s="1"/>
      <c r="AE463" s="1"/>
      <c r="AF463" s="1" t="str">
        <f t="shared" si="23"/>
        <v/>
      </c>
      <c r="AG463" s="1" t="str">
        <f t="shared" si="24"/>
        <v/>
      </c>
      <c r="AH463" s="1" t="str">
        <f t="shared" si="25"/>
        <v/>
      </c>
      <c r="AI463" s="1" t="str">
        <f>IF(AH463="", "", SUM($AH$4:AH463))</f>
        <v/>
      </c>
      <c r="AJ463" s="9"/>
    </row>
    <row r="464" spans="1:36">
      <c r="A464" s="7"/>
      <c r="W464" s="1" t="str">
        <f>IF(Table1[[#This Row],[WHRS NET KW TOTAL]]="","", Table1[[#This Row],[WHRS NET KW TOTAL]]-U463)</f>
        <v/>
      </c>
      <c r="X464" s="6">
        <f>Table1[[#This Row],[WHRS  KW TOTAL]]-V463</f>
        <v>0</v>
      </c>
      <c r="Y464" s="6" t="b">
        <f>IF(AND(Table1[[#This Row],[WHRS KW RECOVERED PER DAY]]&lt;&gt;0,Table1[[#This Row],[WHRS RH]]&lt;&gt;0),ROUND(Table1[[#This Row],[WHRS KW RECOVERED PER DAY]]/Table1[[#This Row],[WHRS RH]],1))</f>
        <v>0</v>
      </c>
      <c r="Z464" s="8"/>
      <c r="AA464" s="1"/>
      <c r="AB464" s="1"/>
      <c r="AC464" s="1"/>
      <c r="AD464" s="1"/>
      <c r="AE464" s="1"/>
      <c r="AF464" s="1" t="str">
        <f t="shared" si="23"/>
        <v/>
      </c>
      <c r="AG464" s="1" t="str">
        <f t="shared" si="24"/>
        <v/>
      </c>
      <c r="AH464" s="1" t="str">
        <f t="shared" si="25"/>
        <v/>
      </c>
      <c r="AI464" s="1" t="str">
        <f>IF(AH464="", "", SUM($AH$4:AH464))</f>
        <v/>
      </c>
      <c r="AJ464" s="9"/>
    </row>
    <row r="465" spans="1:36">
      <c r="A465" s="7"/>
      <c r="W465" s="1" t="str">
        <f>IF(Table1[[#This Row],[WHRS NET KW TOTAL]]="","", Table1[[#This Row],[WHRS NET KW TOTAL]]-U464)</f>
        <v/>
      </c>
      <c r="X465" s="6">
        <f>Table1[[#This Row],[WHRS  KW TOTAL]]-V464</f>
        <v>0</v>
      </c>
      <c r="Y465" s="6" t="b">
        <f>IF(AND(Table1[[#This Row],[WHRS KW RECOVERED PER DAY]]&lt;&gt;0,Table1[[#This Row],[WHRS RH]]&lt;&gt;0),ROUND(Table1[[#This Row],[WHRS KW RECOVERED PER DAY]]/Table1[[#This Row],[WHRS RH]],1))</f>
        <v>0</v>
      </c>
      <c r="Z465" s="8"/>
      <c r="AA465" s="1"/>
      <c r="AB465" s="1"/>
      <c r="AC465" s="1"/>
      <c r="AD465" s="1"/>
      <c r="AE465" s="1"/>
      <c r="AF465" s="1" t="str">
        <f t="shared" si="23"/>
        <v/>
      </c>
      <c r="AG465" s="1" t="str">
        <f t="shared" si="24"/>
        <v/>
      </c>
      <c r="AH465" s="1" t="str">
        <f t="shared" si="25"/>
        <v/>
      </c>
      <c r="AI465" s="1" t="str">
        <f>IF(AH465="", "", SUM($AH$4:AH465))</f>
        <v/>
      </c>
      <c r="AJ465" s="9"/>
    </row>
    <row r="466" spans="1:36">
      <c r="A466" s="7"/>
      <c r="W466" s="1" t="str">
        <f>IF(Table1[[#This Row],[WHRS NET KW TOTAL]]="","", Table1[[#This Row],[WHRS NET KW TOTAL]]-U465)</f>
        <v/>
      </c>
      <c r="X466" s="6">
        <f>Table1[[#This Row],[WHRS  KW TOTAL]]-V465</f>
        <v>0</v>
      </c>
      <c r="Y466" s="6" t="b">
        <f>IF(AND(Table1[[#This Row],[WHRS KW RECOVERED PER DAY]]&lt;&gt;0,Table1[[#This Row],[WHRS RH]]&lt;&gt;0),ROUND(Table1[[#This Row],[WHRS KW RECOVERED PER DAY]]/Table1[[#This Row],[WHRS RH]],1))</f>
        <v>0</v>
      </c>
      <c r="Z466" s="8"/>
      <c r="AA466" s="1"/>
      <c r="AB466" s="1"/>
      <c r="AC466" s="1"/>
      <c r="AD466" s="1"/>
      <c r="AE466" s="1"/>
      <c r="AF466" s="1" t="str">
        <f t="shared" si="23"/>
        <v/>
      </c>
      <c r="AG466" s="1" t="str">
        <f t="shared" si="24"/>
        <v/>
      </c>
      <c r="AH466" s="1" t="str">
        <f t="shared" si="25"/>
        <v/>
      </c>
      <c r="AI466" s="1" t="str">
        <f>IF(AH466="", "", SUM($AH$4:AH466))</f>
        <v/>
      </c>
      <c r="AJ466" s="9"/>
    </row>
    <row r="467" spans="1:36">
      <c r="A467" s="7"/>
      <c r="W467" s="1" t="str">
        <f>IF(Table1[[#This Row],[WHRS NET KW TOTAL]]="","", Table1[[#This Row],[WHRS NET KW TOTAL]]-U466)</f>
        <v/>
      </c>
      <c r="X467" s="6">
        <f>Table1[[#This Row],[WHRS  KW TOTAL]]-V466</f>
        <v>0</v>
      </c>
      <c r="Y467" s="6" t="b">
        <f>IF(AND(Table1[[#This Row],[WHRS KW RECOVERED PER DAY]]&lt;&gt;0,Table1[[#This Row],[WHRS RH]]&lt;&gt;0),ROUND(Table1[[#This Row],[WHRS KW RECOVERED PER DAY]]/Table1[[#This Row],[WHRS RH]],1))</f>
        <v>0</v>
      </c>
      <c r="Z467" s="8"/>
      <c r="AA467" s="1"/>
      <c r="AB467" s="1"/>
      <c r="AC467" s="1"/>
      <c r="AD467" s="1"/>
      <c r="AE467" s="1"/>
      <c r="AF467" s="1" t="str">
        <f t="shared" si="23"/>
        <v/>
      </c>
      <c r="AG467" s="1" t="str">
        <f t="shared" si="24"/>
        <v/>
      </c>
      <c r="AH467" s="1" t="str">
        <f t="shared" si="25"/>
        <v/>
      </c>
      <c r="AI467" s="1" t="str">
        <f>IF(AH467="", "", SUM($AH$4:AH467))</f>
        <v/>
      </c>
      <c r="AJ467" s="9"/>
    </row>
    <row r="468" spans="1:36">
      <c r="A468" s="7"/>
      <c r="W468" s="1" t="str">
        <f>IF(Table1[[#This Row],[WHRS NET KW TOTAL]]="","", Table1[[#This Row],[WHRS NET KW TOTAL]]-U467)</f>
        <v/>
      </c>
      <c r="X468" s="6">
        <f>Table1[[#This Row],[WHRS  KW TOTAL]]-V467</f>
        <v>0</v>
      </c>
      <c r="Y468" s="6" t="b">
        <f>IF(AND(Table1[[#This Row],[WHRS KW RECOVERED PER DAY]]&lt;&gt;0,Table1[[#This Row],[WHRS RH]]&lt;&gt;0),ROUND(Table1[[#This Row],[WHRS KW RECOVERED PER DAY]]/Table1[[#This Row],[WHRS RH]],1))</f>
        <v>0</v>
      </c>
      <c r="Z468" s="8"/>
      <c r="AA468" s="1"/>
      <c r="AB468" s="1"/>
      <c r="AC468" s="1"/>
      <c r="AD468" s="1"/>
      <c r="AE468" s="1"/>
      <c r="AF468" s="1" t="str">
        <f t="shared" si="23"/>
        <v/>
      </c>
      <c r="AG468" s="1" t="str">
        <f t="shared" si="24"/>
        <v/>
      </c>
      <c r="AH468" s="1" t="str">
        <f t="shared" si="25"/>
        <v/>
      </c>
      <c r="AI468" s="1" t="str">
        <f>IF(AH468="", "", SUM($AH$4:AH468))</f>
        <v/>
      </c>
      <c r="AJ468" s="9"/>
    </row>
    <row r="469" spans="1:36">
      <c r="A469" s="7"/>
      <c r="W469" s="1" t="str">
        <f>IF(Table1[[#This Row],[WHRS NET KW TOTAL]]="","", Table1[[#This Row],[WHRS NET KW TOTAL]]-U468)</f>
        <v/>
      </c>
      <c r="X469" s="6">
        <f>Table1[[#This Row],[WHRS  KW TOTAL]]-V468</f>
        <v>0</v>
      </c>
      <c r="Y469" s="6" t="b">
        <f>IF(AND(Table1[[#This Row],[WHRS KW RECOVERED PER DAY]]&lt;&gt;0,Table1[[#This Row],[WHRS RH]]&lt;&gt;0),ROUND(Table1[[#This Row],[WHRS KW RECOVERED PER DAY]]/Table1[[#This Row],[WHRS RH]],1))</f>
        <v>0</v>
      </c>
      <c r="Z469" s="8"/>
      <c r="AA469" s="1"/>
      <c r="AB469" s="1"/>
      <c r="AC469" s="1"/>
      <c r="AD469" s="1"/>
      <c r="AE469" s="1"/>
      <c r="AF469" s="1" t="str">
        <f t="shared" si="23"/>
        <v/>
      </c>
      <c r="AG469" s="1" t="str">
        <f t="shared" si="24"/>
        <v/>
      </c>
      <c r="AH469" s="1" t="str">
        <f t="shared" si="25"/>
        <v/>
      </c>
      <c r="AI469" s="1" t="str">
        <f>IF(AH469="", "", SUM($AH$4:AH469))</f>
        <v/>
      </c>
      <c r="AJ469" s="9"/>
    </row>
    <row r="470" spans="1:36">
      <c r="A470" s="7"/>
      <c r="W470" s="1" t="str">
        <f>IF(Table1[[#This Row],[WHRS NET KW TOTAL]]="","", Table1[[#This Row],[WHRS NET KW TOTAL]]-U469)</f>
        <v/>
      </c>
      <c r="X470" s="6">
        <f>Table1[[#This Row],[WHRS  KW TOTAL]]-V469</f>
        <v>0</v>
      </c>
      <c r="Y470" s="6" t="b">
        <f>IF(AND(Table1[[#This Row],[WHRS KW RECOVERED PER DAY]]&lt;&gt;0,Table1[[#This Row],[WHRS RH]]&lt;&gt;0),ROUND(Table1[[#This Row],[WHRS KW RECOVERED PER DAY]]/Table1[[#This Row],[WHRS RH]],1))</f>
        <v>0</v>
      </c>
      <c r="Z470" s="8"/>
      <c r="AA470" s="1"/>
      <c r="AB470" s="1"/>
      <c r="AC470" s="1"/>
      <c r="AD470" s="1"/>
      <c r="AE470" s="1"/>
      <c r="AF470" s="1" t="str">
        <f t="shared" si="23"/>
        <v/>
      </c>
      <c r="AG470" s="1" t="str">
        <f t="shared" si="24"/>
        <v/>
      </c>
      <c r="AH470" s="1" t="str">
        <f t="shared" si="25"/>
        <v/>
      </c>
      <c r="AI470" s="1" t="str">
        <f>IF(AH470="", "", SUM($AH$4:AH470))</f>
        <v/>
      </c>
      <c r="AJ470" s="9"/>
    </row>
    <row r="471" spans="1:36">
      <c r="A471" s="7"/>
      <c r="W471" s="1" t="str">
        <f>IF(Table1[[#This Row],[WHRS NET KW TOTAL]]="","", Table1[[#This Row],[WHRS NET KW TOTAL]]-U470)</f>
        <v/>
      </c>
      <c r="X471" s="6">
        <f>Table1[[#This Row],[WHRS  KW TOTAL]]-V470</f>
        <v>0</v>
      </c>
      <c r="Y471" s="6" t="b">
        <f>IF(AND(Table1[[#This Row],[WHRS KW RECOVERED PER DAY]]&lt;&gt;0,Table1[[#This Row],[WHRS RH]]&lt;&gt;0),ROUND(Table1[[#This Row],[WHRS KW RECOVERED PER DAY]]/Table1[[#This Row],[WHRS RH]],1))</f>
        <v>0</v>
      </c>
      <c r="Z471" s="8"/>
      <c r="AA471" s="1"/>
      <c r="AB471" s="1"/>
      <c r="AC471" s="1"/>
      <c r="AD471" s="1"/>
      <c r="AE471" s="1"/>
      <c r="AF471" s="1" t="str">
        <f t="shared" si="23"/>
        <v/>
      </c>
      <c r="AG471" s="1" t="str">
        <f t="shared" si="24"/>
        <v/>
      </c>
      <c r="AH471" s="1" t="str">
        <f t="shared" si="25"/>
        <v/>
      </c>
      <c r="AI471" s="1" t="str">
        <f>IF(AH471="", "", SUM($AH$4:AH471))</f>
        <v/>
      </c>
      <c r="AJ471" s="9"/>
    </row>
    <row r="472" spans="1:36">
      <c r="A472" s="7"/>
      <c r="W472" s="1" t="str">
        <f>IF(Table1[[#This Row],[WHRS NET KW TOTAL]]="","", Table1[[#This Row],[WHRS NET KW TOTAL]]-U471)</f>
        <v/>
      </c>
      <c r="X472" s="6">
        <f>Table1[[#This Row],[WHRS  KW TOTAL]]-V471</f>
        <v>0</v>
      </c>
      <c r="Y472" s="6" t="b">
        <f>IF(AND(Table1[[#This Row],[WHRS KW RECOVERED PER DAY]]&lt;&gt;0,Table1[[#This Row],[WHRS RH]]&lt;&gt;0),ROUND(Table1[[#This Row],[WHRS KW RECOVERED PER DAY]]/Table1[[#This Row],[WHRS RH]],1))</f>
        <v>0</v>
      </c>
      <c r="Z472" s="8"/>
      <c r="AA472" s="1"/>
      <c r="AB472" s="1"/>
      <c r="AC472" s="1"/>
      <c r="AD472" s="1"/>
      <c r="AE472" s="1"/>
      <c r="AF472" s="1" t="str">
        <f t="shared" si="23"/>
        <v/>
      </c>
      <c r="AG472" s="1" t="str">
        <f t="shared" si="24"/>
        <v/>
      </c>
      <c r="AH472" s="1" t="str">
        <f t="shared" si="25"/>
        <v/>
      </c>
      <c r="AI472" s="1" t="str">
        <f>IF(AH472="", "", SUM($AH$4:AH472))</f>
        <v/>
      </c>
      <c r="AJ472" s="9"/>
    </row>
    <row r="473" spans="1:36">
      <c r="A473" s="7"/>
      <c r="W473" s="1" t="str">
        <f>IF(Table1[[#This Row],[WHRS NET KW TOTAL]]="","", Table1[[#This Row],[WHRS NET KW TOTAL]]-U472)</f>
        <v/>
      </c>
      <c r="X473" s="6">
        <f>Table1[[#This Row],[WHRS  KW TOTAL]]-V472</f>
        <v>0</v>
      </c>
      <c r="Y473" s="6" t="b">
        <f>IF(AND(Table1[[#This Row],[WHRS KW RECOVERED PER DAY]]&lt;&gt;0,Table1[[#This Row],[WHRS RH]]&lt;&gt;0),ROUND(Table1[[#This Row],[WHRS KW RECOVERED PER DAY]]/Table1[[#This Row],[WHRS RH]],1))</f>
        <v>0</v>
      </c>
      <c r="Z473" s="8"/>
      <c r="AA473" s="1"/>
      <c r="AB473" s="1"/>
      <c r="AC473" s="1"/>
      <c r="AD473" s="1"/>
      <c r="AE473" s="1"/>
      <c r="AF473" s="1" t="str">
        <f t="shared" si="23"/>
        <v/>
      </c>
      <c r="AG473" s="1" t="str">
        <f t="shared" si="24"/>
        <v/>
      </c>
      <c r="AH473" s="1" t="str">
        <f t="shared" si="25"/>
        <v/>
      </c>
      <c r="AI473" s="1" t="str">
        <f>IF(AH473="", "", SUM($AH$4:AH473))</f>
        <v/>
      </c>
      <c r="AJ473" s="9"/>
    </row>
    <row r="474" spans="1:36">
      <c r="A474" s="7"/>
      <c r="W474" s="1" t="str">
        <f>IF(Table1[[#This Row],[WHRS NET KW TOTAL]]="","", Table1[[#This Row],[WHRS NET KW TOTAL]]-U473)</f>
        <v/>
      </c>
      <c r="X474" s="6">
        <f>Table1[[#This Row],[WHRS  KW TOTAL]]-V473</f>
        <v>0</v>
      </c>
      <c r="Y474" s="6" t="b">
        <f>IF(AND(Table1[[#This Row],[WHRS KW RECOVERED PER DAY]]&lt;&gt;0,Table1[[#This Row],[WHRS RH]]&lt;&gt;0),ROUND(Table1[[#This Row],[WHRS KW RECOVERED PER DAY]]/Table1[[#This Row],[WHRS RH]],1))</f>
        <v>0</v>
      </c>
      <c r="Z474" s="8"/>
      <c r="AA474" s="1"/>
      <c r="AB474" s="1"/>
      <c r="AC474" s="1"/>
      <c r="AD474" s="1"/>
      <c r="AE474" s="1"/>
      <c r="AF474" s="1" t="str">
        <f t="shared" si="23"/>
        <v/>
      </c>
      <c r="AG474" s="1" t="str">
        <f t="shared" si="24"/>
        <v/>
      </c>
      <c r="AH474" s="1" t="str">
        <f t="shared" si="25"/>
        <v/>
      </c>
      <c r="AI474" s="1" t="str">
        <f>IF(AH474="", "", SUM($AH$4:AH474))</f>
        <v/>
      </c>
      <c r="AJ474" s="9"/>
    </row>
    <row r="475" spans="1:36">
      <c r="A475" s="7"/>
      <c r="W475" s="1" t="str">
        <f>IF(Table1[[#This Row],[WHRS NET KW TOTAL]]="","", Table1[[#This Row],[WHRS NET KW TOTAL]]-U474)</f>
        <v/>
      </c>
      <c r="X475" s="6">
        <f>Table1[[#This Row],[WHRS  KW TOTAL]]-V474</f>
        <v>0</v>
      </c>
      <c r="Y475" s="6" t="b">
        <f>IF(AND(Table1[[#This Row],[WHRS KW RECOVERED PER DAY]]&lt;&gt;0,Table1[[#This Row],[WHRS RH]]&lt;&gt;0),ROUND(Table1[[#This Row],[WHRS KW RECOVERED PER DAY]]/Table1[[#This Row],[WHRS RH]],1))</f>
        <v>0</v>
      </c>
      <c r="Z475" s="8"/>
      <c r="AA475" s="1"/>
      <c r="AB475" s="1"/>
      <c r="AC475" s="1"/>
      <c r="AD475" s="1"/>
      <c r="AE475" s="1"/>
      <c r="AF475" s="1" t="str">
        <f t="shared" si="23"/>
        <v/>
      </c>
      <c r="AG475" s="1" t="str">
        <f t="shared" si="24"/>
        <v/>
      </c>
      <c r="AH475" s="1" t="str">
        <f t="shared" si="25"/>
        <v/>
      </c>
      <c r="AI475" s="1" t="str">
        <f>IF(AH475="", "", SUM($AH$4:AH475))</f>
        <v/>
      </c>
      <c r="AJ475" s="9"/>
    </row>
    <row r="476" spans="1:36">
      <c r="A476" s="7"/>
      <c r="W476" s="1" t="str">
        <f>IF(Table1[[#This Row],[WHRS NET KW TOTAL]]="","", Table1[[#This Row],[WHRS NET KW TOTAL]]-U475)</f>
        <v/>
      </c>
      <c r="X476" s="6">
        <f>Table1[[#This Row],[WHRS  KW TOTAL]]-V475</f>
        <v>0</v>
      </c>
      <c r="Y476" s="6" t="b">
        <f>IF(AND(Table1[[#This Row],[WHRS KW RECOVERED PER DAY]]&lt;&gt;0,Table1[[#This Row],[WHRS RH]]&lt;&gt;0),ROUND(Table1[[#This Row],[WHRS KW RECOVERED PER DAY]]/Table1[[#This Row],[WHRS RH]],1))</f>
        <v>0</v>
      </c>
      <c r="Z476" s="8"/>
      <c r="AA476" s="1"/>
      <c r="AB476" s="1"/>
      <c r="AC476" s="1"/>
      <c r="AD476" s="1"/>
      <c r="AE476" s="1"/>
      <c r="AF476" s="1" t="str">
        <f t="shared" si="23"/>
        <v/>
      </c>
      <c r="AG476" s="1" t="str">
        <f t="shared" si="24"/>
        <v/>
      </c>
      <c r="AH476" s="1" t="str">
        <f t="shared" si="25"/>
        <v/>
      </c>
      <c r="AI476" s="1" t="str">
        <f>IF(AH476="", "", SUM($AH$4:AH476))</f>
        <v/>
      </c>
      <c r="AJ476" s="9"/>
    </row>
    <row r="477" spans="1:36">
      <c r="A477" s="7"/>
      <c r="W477" s="1" t="str">
        <f>IF(Table1[[#This Row],[WHRS NET KW TOTAL]]="","", Table1[[#This Row],[WHRS NET KW TOTAL]]-U476)</f>
        <v/>
      </c>
      <c r="X477" s="6">
        <f>Table1[[#This Row],[WHRS  KW TOTAL]]-V476</f>
        <v>0</v>
      </c>
      <c r="Y477" s="6" t="b">
        <f>IF(AND(Table1[[#This Row],[WHRS KW RECOVERED PER DAY]]&lt;&gt;0,Table1[[#This Row],[WHRS RH]]&lt;&gt;0),ROUND(Table1[[#This Row],[WHRS KW RECOVERED PER DAY]]/Table1[[#This Row],[WHRS RH]],1))</f>
        <v>0</v>
      </c>
      <c r="Z477" s="8"/>
      <c r="AA477" s="1"/>
      <c r="AB477" s="1"/>
      <c r="AC477" s="1"/>
      <c r="AD477" s="1"/>
      <c r="AE477" s="1"/>
      <c r="AF477" s="1" t="str">
        <f t="shared" si="23"/>
        <v/>
      </c>
      <c r="AG477" s="1" t="str">
        <f t="shared" si="24"/>
        <v/>
      </c>
      <c r="AH477" s="1" t="str">
        <f t="shared" si="25"/>
        <v/>
      </c>
      <c r="AI477" s="1" t="str">
        <f>IF(AH477="", "", SUM($AH$4:AH477))</f>
        <v/>
      </c>
      <c r="AJ477" s="9"/>
    </row>
    <row r="478" spans="1:36">
      <c r="A478" s="7"/>
      <c r="W478" s="1" t="str">
        <f>IF(Table1[[#This Row],[WHRS NET KW TOTAL]]="","", Table1[[#This Row],[WHRS NET KW TOTAL]]-U477)</f>
        <v/>
      </c>
      <c r="X478" s="6">
        <f>Table1[[#This Row],[WHRS  KW TOTAL]]-V477</f>
        <v>0</v>
      </c>
      <c r="Y478" s="6" t="b">
        <f>IF(AND(Table1[[#This Row],[WHRS KW RECOVERED PER DAY]]&lt;&gt;0,Table1[[#This Row],[WHRS RH]]&lt;&gt;0),ROUND(Table1[[#This Row],[WHRS KW RECOVERED PER DAY]]/Table1[[#This Row],[WHRS RH]],1))</f>
        <v>0</v>
      </c>
      <c r="Z478" s="8"/>
      <c r="AA478" s="1"/>
      <c r="AB478" s="1"/>
      <c r="AC478" s="1"/>
      <c r="AD478" s="1"/>
      <c r="AE478" s="1"/>
      <c r="AF478" s="1" t="str">
        <f t="shared" si="23"/>
        <v/>
      </c>
      <c r="AG478" s="1" t="str">
        <f t="shared" si="24"/>
        <v/>
      </c>
      <c r="AH478" s="1" t="str">
        <f t="shared" si="25"/>
        <v/>
      </c>
      <c r="AI478" s="1" t="str">
        <f>IF(AH478="", "", SUM($AH$4:AH478))</f>
        <v/>
      </c>
      <c r="AJ478" s="9"/>
    </row>
    <row r="479" spans="1:36">
      <c r="A479" s="7"/>
      <c r="W479" s="1" t="str">
        <f>IF(Table1[[#This Row],[WHRS NET KW TOTAL]]="","", Table1[[#This Row],[WHRS NET KW TOTAL]]-U478)</f>
        <v/>
      </c>
      <c r="X479" s="6">
        <f>Table1[[#This Row],[WHRS  KW TOTAL]]-V478</f>
        <v>0</v>
      </c>
      <c r="Y479" s="6" t="b">
        <f>IF(AND(Table1[[#This Row],[WHRS KW RECOVERED PER DAY]]&lt;&gt;0,Table1[[#This Row],[WHRS RH]]&lt;&gt;0),ROUND(Table1[[#This Row],[WHRS KW RECOVERED PER DAY]]/Table1[[#This Row],[WHRS RH]],1))</f>
        <v>0</v>
      </c>
      <c r="Z479" s="8"/>
      <c r="AA479" s="1"/>
      <c r="AB479" s="1"/>
      <c r="AC479" s="1"/>
      <c r="AD479" s="1"/>
      <c r="AE479" s="1"/>
      <c r="AF479" s="1" t="str">
        <f t="shared" si="23"/>
        <v/>
      </c>
      <c r="AG479" s="1" t="str">
        <f t="shared" si="24"/>
        <v/>
      </c>
      <c r="AH479" s="1" t="str">
        <f t="shared" si="25"/>
        <v/>
      </c>
      <c r="AI479" s="1" t="str">
        <f>IF(AH479="", "", SUM($AH$4:AH479))</f>
        <v/>
      </c>
      <c r="AJ479" s="9"/>
    </row>
    <row r="480" spans="1:36">
      <c r="A480" s="7"/>
      <c r="W480" s="1" t="str">
        <f>IF(Table1[[#This Row],[WHRS NET KW TOTAL]]="","", Table1[[#This Row],[WHRS NET KW TOTAL]]-U479)</f>
        <v/>
      </c>
      <c r="X480" s="6">
        <f>Table1[[#This Row],[WHRS  KW TOTAL]]-V479</f>
        <v>0</v>
      </c>
      <c r="Y480" s="6" t="b">
        <f>IF(AND(Table1[[#This Row],[WHRS KW RECOVERED PER DAY]]&lt;&gt;0,Table1[[#This Row],[WHRS RH]]&lt;&gt;0),ROUND(Table1[[#This Row],[WHRS KW RECOVERED PER DAY]]/Table1[[#This Row],[WHRS RH]],1))</f>
        <v>0</v>
      </c>
      <c r="Z480" s="8"/>
      <c r="AA480" s="1"/>
      <c r="AB480" s="1"/>
      <c r="AC480" s="1"/>
      <c r="AD480" s="1"/>
      <c r="AE480" s="1"/>
      <c r="AF480" s="1" t="str">
        <f t="shared" si="23"/>
        <v/>
      </c>
      <c r="AG480" s="1" t="str">
        <f t="shared" si="24"/>
        <v/>
      </c>
      <c r="AH480" s="1" t="str">
        <f t="shared" si="25"/>
        <v/>
      </c>
      <c r="AI480" s="1" t="str">
        <f>IF(AH480="", "", SUM($AH$4:AH480))</f>
        <v/>
      </c>
      <c r="AJ480" s="9"/>
    </row>
    <row r="481" spans="1:36">
      <c r="A481" s="7"/>
      <c r="W481" s="1" t="str">
        <f>IF(Table1[[#This Row],[WHRS NET KW TOTAL]]="","", Table1[[#This Row],[WHRS NET KW TOTAL]]-U480)</f>
        <v/>
      </c>
      <c r="X481" s="6">
        <f>Table1[[#This Row],[WHRS  KW TOTAL]]-V480</f>
        <v>0</v>
      </c>
      <c r="Y481" s="6" t="b">
        <f>IF(AND(Table1[[#This Row],[WHRS KW RECOVERED PER DAY]]&lt;&gt;0,Table1[[#This Row],[WHRS RH]]&lt;&gt;0),ROUND(Table1[[#This Row],[WHRS KW RECOVERED PER DAY]]/Table1[[#This Row],[WHRS RH]],1))</f>
        <v>0</v>
      </c>
      <c r="Z481" s="8"/>
      <c r="AA481" s="1"/>
      <c r="AB481" s="1"/>
      <c r="AC481" s="1"/>
      <c r="AD481" s="1"/>
      <c r="AE481" s="1"/>
      <c r="AF481" s="1" t="str">
        <f t="shared" si="23"/>
        <v/>
      </c>
      <c r="AG481" s="1" t="str">
        <f t="shared" si="24"/>
        <v/>
      </c>
      <c r="AH481" s="1" t="str">
        <f t="shared" si="25"/>
        <v/>
      </c>
      <c r="AI481" s="1" t="str">
        <f>IF(AH481="", "", SUM($AH$4:AH481))</f>
        <v/>
      </c>
      <c r="AJ481" s="9"/>
    </row>
    <row r="482" spans="1:36">
      <c r="A482" s="7"/>
      <c r="W482" s="1" t="str">
        <f>IF(Table1[[#This Row],[WHRS NET KW TOTAL]]="","", Table1[[#This Row],[WHRS NET KW TOTAL]]-U481)</f>
        <v/>
      </c>
      <c r="X482" s="6">
        <f>Table1[[#This Row],[WHRS  KW TOTAL]]-V481</f>
        <v>0</v>
      </c>
      <c r="Y482" s="6" t="b">
        <f>IF(AND(Table1[[#This Row],[WHRS KW RECOVERED PER DAY]]&lt;&gt;0,Table1[[#This Row],[WHRS RH]]&lt;&gt;0),ROUND(Table1[[#This Row],[WHRS KW RECOVERED PER DAY]]/Table1[[#This Row],[WHRS RH]],1))</f>
        <v>0</v>
      </c>
      <c r="Z482" s="8"/>
      <c r="AA482" s="1"/>
      <c r="AB482" s="1"/>
      <c r="AC482" s="1"/>
      <c r="AD482" s="1"/>
      <c r="AE482" s="1"/>
      <c r="AF482" s="1" t="str">
        <f t="shared" si="23"/>
        <v/>
      </c>
      <c r="AG482" s="1" t="str">
        <f t="shared" si="24"/>
        <v/>
      </c>
      <c r="AH482" s="1" t="str">
        <f t="shared" si="25"/>
        <v/>
      </c>
      <c r="AI482" s="1" t="str">
        <f>IF(AH482="", "", SUM($AH$4:AH482))</f>
        <v/>
      </c>
      <c r="AJ482" s="9"/>
    </row>
    <row r="483" spans="1:36">
      <c r="A483" s="7"/>
      <c r="W483" s="1" t="str">
        <f>IF(Table1[[#This Row],[WHRS NET KW TOTAL]]="","", Table1[[#This Row],[WHRS NET KW TOTAL]]-U482)</f>
        <v/>
      </c>
      <c r="X483" s="6">
        <f>Table1[[#This Row],[WHRS  KW TOTAL]]-V482</f>
        <v>0</v>
      </c>
      <c r="Y483" s="6" t="b">
        <f>IF(AND(Table1[[#This Row],[WHRS KW RECOVERED PER DAY]]&lt;&gt;0,Table1[[#This Row],[WHRS RH]]&lt;&gt;0),ROUND(Table1[[#This Row],[WHRS KW RECOVERED PER DAY]]/Table1[[#This Row],[WHRS RH]],1))</f>
        <v>0</v>
      </c>
      <c r="Z483" s="8"/>
      <c r="AA483" s="1"/>
      <c r="AB483" s="1"/>
      <c r="AC483" s="1"/>
      <c r="AD483" s="1"/>
      <c r="AE483" s="1"/>
      <c r="AF483" s="1" t="str">
        <f t="shared" si="23"/>
        <v/>
      </c>
      <c r="AG483" s="1" t="str">
        <f t="shared" si="24"/>
        <v/>
      </c>
      <c r="AH483" s="1" t="str">
        <f t="shared" si="25"/>
        <v/>
      </c>
      <c r="AI483" s="1" t="str">
        <f>IF(AH483="", "", SUM($AH$4:AH483))</f>
        <v/>
      </c>
      <c r="AJ483" s="9"/>
    </row>
    <row r="484" spans="1:36">
      <c r="A484" s="7"/>
      <c r="W484" s="1" t="str">
        <f>IF(Table1[[#This Row],[WHRS NET KW TOTAL]]="","", Table1[[#This Row],[WHRS NET KW TOTAL]]-U483)</f>
        <v/>
      </c>
      <c r="X484" s="6">
        <f>Table1[[#This Row],[WHRS  KW TOTAL]]-V483</f>
        <v>0</v>
      </c>
      <c r="Y484" s="6" t="b">
        <f>IF(AND(Table1[[#This Row],[WHRS KW RECOVERED PER DAY]]&lt;&gt;0,Table1[[#This Row],[WHRS RH]]&lt;&gt;0),ROUND(Table1[[#This Row],[WHRS KW RECOVERED PER DAY]]/Table1[[#This Row],[WHRS RH]],1))</f>
        <v>0</v>
      </c>
      <c r="Z484" s="8"/>
      <c r="AA484" s="1"/>
      <c r="AB484" s="1"/>
      <c r="AC484" s="1"/>
      <c r="AD484" s="1"/>
      <c r="AE484" s="1"/>
      <c r="AF484" s="1" t="str">
        <f t="shared" si="23"/>
        <v/>
      </c>
      <c r="AG484" s="1" t="str">
        <f t="shared" si="24"/>
        <v/>
      </c>
      <c r="AH484" s="1" t="str">
        <f t="shared" si="25"/>
        <v/>
      </c>
      <c r="AI484" s="1" t="str">
        <f>IF(AH484="", "", SUM($AH$4:AH484))</f>
        <v/>
      </c>
      <c r="AJ484" s="9"/>
    </row>
    <row r="485" spans="1:36">
      <c r="A485" s="7"/>
      <c r="W485" s="1" t="str">
        <f>IF(Table1[[#This Row],[WHRS NET KW TOTAL]]="","", Table1[[#This Row],[WHRS NET KW TOTAL]]-U484)</f>
        <v/>
      </c>
      <c r="X485" s="6">
        <f>Table1[[#This Row],[WHRS  KW TOTAL]]-V484</f>
        <v>0</v>
      </c>
      <c r="Y485" s="6" t="b">
        <f>IF(AND(Table1[[#This Row],[WHRS KW RECOVERED PER DAY]]&lt;&gt;0,Table1[[#This Row],[WHRS RH]]&lt;&gt;0),ROUND(Table1[[#This Row],[WHRS KW RECOVERED PER DAY]]/Table1[[#This Row],[WHRS RH]],1))</f>
        <v>0</v>
      </c>
      <c r="Z485" s="8"/>
      <c r="AA485" s="1"/>
      <c r="AB485" s="1"/>
      <c r="AC485" s="1"/>
      <c r="AD485" s="1"/>
      <c r="AE485" s="1"/>
      <c r="AF485" s="1" t="str">
        <f t="shared" si="23"/>
        <v/>
      </c>
      <c r="AG485" s="1" t="str">
        <f t="shared" si="24"/>
        <v/>
      </c>
      <c r="AH485" s="1" t="str">
        <f t="shared" si="25"/>
        <v/>
      </c>
      <c r="AI485" s="1" t="str">
        <f>IF(AH485="", "", SUM($AH$4:AH485))</f>
        <v/>
      </c>
      <c r="AJ485" s="9"/>
    </row>
    <row r="486" spans="1:36">
      <c r="A486" s="7"/>
      <c r="W486" s="1" t="str">
        <f>IF(Table1[[#This Row],[WHRS NET KW TOTAL]]="","", Table1[[#This Row],[WHRS NET KW TOTAL]]-U485)</f>
        <v/>
      </c>
      <c r="X486" s="6">
        <f>Table1[[#This Row],[WHRS  KW TOTAL]]-V485</f>
        <v>0</v>
      </c>
      <c r="Y486" s="6" t="b">
        <f>IF(AND(Table1[[#This Row],[WHRS KW RECOVERED PER DAY]]&lt;&gt;0,Table1[[#This Row],[WHRS RH]]&lt;&gt;0),ROUND(Table1[[#This Row],[WHRS KW RECOVERED PER DAY]]/Table1[[#This Row],[WHRS RH]],1))</f>
        <v>0</v>
      </c>
      <c r="Z486" s="8"/>
      <c r="AA486" s="1"/>
      <c r="AB486" s="1"/>
      <c r="AC486" s="1"/>
      <c r="AD486" s="1"/>
      <c r="AE486" s="1"/>
      <c r="AF486" s="1" t="str">
        <f t="shared" si="23"/>
        <v/>
      </c>
      <c r="AG486" s="1" t="str">
        <f t="shared" si="24"/>
        <v/>
      </c>
      <c r="AH486" s="1" t="str">
        <f t="shared" si="25"/>
        <v/>
      </c>
      <c r="AI486" s="1" t="str">
        <f>IF(AH486="", "", SUM($AH$4:AH486))</f>
        <v/>
      </c>
      <c r="AJ486" s="9"/>
    </row>
    <row r="487" spans="1:36">
      <c r="A487" s="7"/>
      <c r="W487" s="1" t="str">
        <f>IF(Table1[[#This Row],[WHRS NET KW TOTAL]]="","", Table1[[#This Row],[WHRS NET KW TOTAL]]-U486)</f>
        <v/>
      </c>
      <c r="X487" s="6">
        <f>Table1[[#This Row],[WHRS  KW TOTAL]]-V486</f>
        <v>0</v>
      </c>
      <c r="Y487" s="6" t="b">
        <f>IF(AND(Table1[[#This Row],[WHRS KW RECOVERED PER DAY]]&lt;&gt;0,Table1[[#This Row],[WHRS RH]]&lt;&gt;0),ROUND(Table1[[#This Row],[WHRS KW RECOVERED PER DAY]]/Table1[[#This Row],[WHRS RH]],1))</f>
        <v>0</v>
      </c>
      <c r="Z487" s="8"/>
      <c r="AA487" s="1"/>
      <c r="AB487" s="1"/>
      <c r="AC487" s="1"/>
      <c r="AD487" s="1"/>
      <c r="AE487" s="1"/>
      <c r="AF487" s="1" t="str">
        <f t="shared" si="23"/>
        <v/>
      </c>
      <c r="AG487" s="1" t="str">
        <f t="shared" si="24"/>
        <v/>
      </c>
      <c r="AH487" s="1" t="str">
        <f t="shared" si="25"/>
        <v/>
      </c>
      <c r="AI487" s="1" t="str">
        <f>IF(AH487="", "", SUM($AH$4:AH487))</f>
        <v/>
      </c>
      <c r="AJ487" s="9"/>
    </row>
    <row r="488" spans="1:36">
      <c r="A488" s="7"/>
      <c r="W488" s="1" t="str">
        <f>IF(Table1[[#This Row],[WHRS NET KW TOTAL]]="","", Table1[[#This Row],[WHRS NET KW TOTAL]]-U487)</f>
        <v/>
      </c>
      <c r="X488" s="6">
        <f>Table1[[#This Row],[WHRS  KW TOTAL]]-V487</f>
        <v>0</v>
      </c>
      <c r="Y488" s="6" t="b">
        <f>IF(AND(Table1[[#This Row],[WHRS KW RECOVERED PER DAY]]&lt;&gt;0,Table1[[#This Row],[WHRS RH]]&lt;&gt;0),ROUND(Table1[[#This Row],[WHRS KW RECOVERED PER DAY]]/Table1[[#This Row],[WHRS RH]],1))</f>
        <v>0</v>
      </c>
      <c r="Z488" s="8"/>
      <c r="AA488" s="1"/>
      <c r="AB488" s="1"/>
      <c r="AC488" s="1"/>
      <c r="AD488" s="1"/>
      <c r="AE488" s="1"/>
      <c r="AF488" s="1" t="str">
        <f t="shared" si="23"/>
        <v/>
      </c>
      <c r="AG488" s="1" t="str">
        <f t="shared" si="24"/>
        <v/>
      </c>
      <c r="AH488" s="1" t="str">
        <f t="shared" si="25"/>
        <v/>
      </c>
      <c r="AI488" s="1" t="str">
        <f>IF(AH488="", "", SUM($AH$4:AH488))</f>
        <v/>
      </c>
      <c r="AJ488" s="9"/>
    </row>
    <row r="489" spans="1:36">
      <c r="A489" s="7"/>
      <c r="W489" s="1" t="str">
        <f>IF(Table1[[#This Row],[WHRS NET KW TOTAL]]="","", Table1[[#This Row],[WHRS NET KW TOTAL]]-U488)</f>
        <v/>
      </c>
      <c r="X489" s="6">
        <f>Table1[[#This Row],[WHRS  KW TOTAL]]-V488</f>
        <v>0</v>
      </c>
      <c r="Y489" s="6" t="b">
        <f>IF(AND(Table1[[#This Row],[WHRS KW RECOVERED PER DAY]]&lt;&gt;0,Table1[[#This Row],[WHRS RH]]&lt;&gt;0),ROUND(Table1[[#This Row],[WHRS KW RECOVERED PER DAY]]/Table1[[#This Row],[WHRS RH]],1))</f>
        <v>0</v>
      </c>
      <c r="Z489" s="8"/>
      <c r="AA489" s="1"/>
      <c r="AB489" s="1"/>
      <c r="AC489" s="1"/>
      <c r="AD489" s="1"/>
      <c r="AE489" s="1"/>
      <c r="AF489" s="1" t="str">
        <f t="shared" si="23"/>
        <v/>
      </c>
      <c r="AG489" s="1" t="str">
        <f t="shared" si="24"/>
        <v/>
      </c>
      <c r="AH489" s="1" t="str">
        <f t="shared" si="25"/>
        <v/>
      </c>
      <c r="AI489" s="1" t="str">
        <f>IF(AH489="", "", SUM($AH$4:AH489))</f>
        <v/>
      </c>
      <c r="AJ489" s="9"/>
    </row>
    <row r="490" spans="1:36">
      <c r="A490" s="7"/>
      <c r="W490" s="1" t="str">
        <f>IF(Table1[[#This Row],[WHRS NET KW TOTAL]]="","", Table1[[#This Row],[WHRS NET KW TOTAL]]-U489)</f>
        <v/>
      </c>
      <c r="X490" s="6">
        <f>Table1[[#This Row],[WHRS  KW TOTAL]]-V489</f>
        <v>0</v>
      </c>
      <c r="Y490" s="6" t="b">
        <f>IF(AND(Table1[[#This Row],[WHRS KW RECOVERED PER DAY]]&lt;&gt;0,Table1[[#This Row],[WHRS RH]]&lt;&gt;0),ROUND(Table1[[#This Row],[WHRS KW RECOVERED PER DAY]]/Table1[[#This Row],[WHRS RH]],1))</f>
        <v>0</v>
      </c>
      <c r="Z490" s="8"/>
      <c r="AA490" s="1"/>
      <c r="AB490" s="1"/>
      <c r="AC490" s="1"/>
      <c r="AD490" s="1"/>
      <c r="AE490" s="1"/>
      <c r="AF490" s="1" t="str">
        <f t="shared" si="23"/>
        <v/>
      </c>
      <c r="AG490" s="1" t="str">
        <f t="shared" si="24"/>
        <v/>
      </c>
      <c r="AH490" s="1" t="str">
        <f t="shared" si="25"/>
        <v/>
      </c>
      <c r="AI490" s="1" t="str">
        <f>IF(AH490="", "", SUM($AH$4:AH490))</f>
        <v/>
      </c>
      <c r="AJ490" s="9"/>
    </row>
    <row r="491" spans="1:36">
      <c r="A491" s="7"/>
      <c r="W491" s="1" t="str">
        <f>IF(Table1[[#This Row],[WHRS NET KW TOTAL]]="","", Table1[[#This Row],[WHRS NET KW TOTAL]]-U490)</f>
        <v/>
      </c>
      <c r="X491" s="6">
        <f>Table1[[#This Row],[WHRS  KW TOTAL]]-V490</f>
        <v>0</v>
      </c>
      <c r="Y491" s="6" t="b">
        <f>IF(AND(Table1[[#This Row],[WHRS KW RECOVERED PER DAY]]&lt;&gt;0,Table1[[#This Row],[WHRS RH]]&lt;&gt;0),ROUND(Table1[[#This Row],[WHRS KW RECOVERED PER DAY]]/Table1[[#This Row],[WHRS RH]],1))</f>
        <v>0</v>
      </c>
      <c r="Z491" s="8"/>
      <c r="AA491" s="1"/>
      <c r="AB491" s="1"/>
      <c r="AC491" s="1"/>
      <c r="AD491" s="1"/>
      <c r="AE491" s="1"/>
      <c r="AF491" s="1" t="str">
        <f t="shared" si="23"/>
        <v/>
      </c>
      <c r="AG491" s="1" t="str">
        <f t="shared" si="24"/>
        <v/>
      </c>
      <c r="AH491" s="1" t="str">
        <f t="shared" si="25"/>
        <v/>
      </c>
      <c r="AI491" s="1" t="str">
        <f>IF(AH491="", "", SUM($AH$4:AH491))</f>
        <v/>
      </c>
      <c r="AJ491" s="9"/>
    </row>
    <row r="492" spans="1:36">
      <c r="A492" s="7"/>
      <c r="W492" s="1" t="str">
        <f>IF(Table1[[#This Row],[WHRS NET KW TOTAL]]="","", Table1[[#This Row],[WHRS NET KW TOTAL]]-U491)</f>
        <v/>
      </c>
      <c r="X492" s="6">
        <f>Table1[[#This Row],[WHRS  KW TOTAL]]-V491</f>
        <v>0</v>
      </c>
      <c r="Y492" s="6" t="b">
        <f>IF(AND(Table1[[#This Row],[WHRS KW RECOVERED PER DAY]]&lt;&gt;0,Table1[[#This Row],[WHRS RH]]&lt;&gt;0),ROUND(Table1[[#This Row],[WHRS KW RECOVERED PER DAY]]/Table1[[#This Row],[WHRS RH]],1))</f>
        <v>0</v>
      </c>
      <c r="Z492" s="8"/>
      <c r="AA492" s="1"/>
      <c r="AB492" s="1"/>
      <c r="AC492" s="1"/>
      <c r="AD492" s="1"/>
      <c r="AE492" s="1"/>
      <c r="AF492" s="1" t="str">
        <f t="shared" si="23"/>
        <v/>
      </c>
      <c r="AG492" s="1" t="str">
        <f t="shared" si="24"/>
        <v/>
      </c>
      <c r="AH492" s="1" t="str">
        <f t="shared" si="25"/>
        <v/>
      </c>
      <c r="AI492" s="1" t="str">
        <f>IF(AH492="", "", SUM($AH$4:AH492))</f>
        <v/>
      </c>
      <c r="AJ492" s="9"/>
    </row>
    <row r="493" spans="1:36">
      <c r="A493" s="7"/>
      <c r="W493" s="1" t="str">
        <f>IF(Table1[[#This Row],[WHRS NET KW TOTAL]]="","", Table1[[#This Row],[WHRS NET KW TOTAL]]-U492)</f>
        <v/>
      </c>
      <c r="X493" s="6">
        <f>Table1[[#This Row],[WHRS  KW TOTAL]]-V492</f>
        <v>0</v>
      </c>
      <c r="Y493" s="6" t="b">
        <f>IF(AND(Table1[[#This Row],[WHRS KW RECOVERED PER DAY]]&lt;&gt;0,Table1[[#This Row],[WHRS RH]]&lt;&gt;0),ROUND(Table1[[#This Row],[WHRS KW RECOVERED PER DAY]]/Table1[[#This Row],[WHRS RH]],1))</f>
        <v>0</v>
      </c>
      <c r="Z493" s="8"/>
      <c r="AA493" s="1"/>
      <c r="AB493" s="1"/>
      <c r="AC493" s="1"/>
      <c r="AD493" s="1"/>
      <c r="AE493" s="1"/>
      <c r="AF493" s="1" t="str">
        <f t="shared" si="23"/>
        <v/>
      </c>
      <c r="AG493" s="1" t="str">
        <f t="shared" si="24"/>
        <v/>
      </c>
      <c r="AH493" s="1" t="str">
        <f t="shared" si="25"/>
        <v/>
      </c>
      <c r="AI493" s="1" t="str">
        <f>IF(AH493="", "", SUM($AH$4:AH493))</f>
        <v/>
      </c>
      <c r="AJ493" s="9"/>
    </row>
    <row r="494" spans="1:36">
      <c r="A494" s="7"/>
      <c r="W494" s="1" t="str">
        <f>IF(Table1[[#This Row],[WHRS NET KW TOTAL]]="","", Table1[[#This Row],[WHRS NET KW TOTAL]]-U493)</f>
        <v/>
      </c>
      <c r="X494" s="6">
        <f>Table1[[#This Row],[WHRS  KW TOTAL]]-V493</f>
        <v>0</v>
      </c>
      <c r="Y494" s="6" t="b">
        <f>IF(AND(Table1[[#This Row],[WHRS KW RECOVERED PER DAY]]&lt;&gt;0,Table1[[#This Row],[WHRS RH]]&lt;&gt;0),ROUND(Table1[[#This Row],[WHRS KW RECOVERED PER DAY]]/Table1[[#This Row],[WHRS RH]],1))</f>
        <v>0</v>
      </c>
      <c r="Z494" s="8"/>
      <c r="AA494" s="1"/>
      <c r="AB494" s="1"/>
      <c r="AC494" s="1"/>
      <c r="AD494" s="1"/>
      <c r="AE494" s="1"/>
      <c r="AF494" s="1" t="str">
        <f t="shared" si="23"/>
        <v/>
      </c>
      <c r="AG494" s="1" t="str">
        <f t="shared" si="24"/>
        <v/>
      </c>
      <c r="AH494" s="1" t="str">
        <f t="shared" si="25"/>
        <v/>
      </c>
      <c r="AI494" s="1" t="str">
        <f>IF(AH494="", "", SUM($AH$4:AH494))</f>
        <v/>
      </c>
      <c r="AJ494" s="9"/>
    </row>
    <row r="495" spans="1:36">
      <c r="A495" s="7"/>
      <c r="W495" s="1" t="str">
        <f>IF(Table1[[#This Row],[WHRS NET KW TOTAL]]="","", Table1[[#This Row],[WHRS NET KW TOTAL]]-U494)</f>
        <v/>
      </c>
      <c r="X495" s="6">
        <f>Table1[[#This Row],[WHRS  KW TOTAL]]-V494</f>
        <v>0</v>
      </c>
      <c r="Y495" s="6" t="b">
        <f>IF(AND(Table1[[#This Row],[WHRS KW RECOVERED PER DAY]]&lt;&gt;0,Table1[[#This Row],[WHRS RH]]&lt;&gt;0),ROUND(Table1[[#This Row],[WHRS KW RECOVERED PER DAY]]/Table1[[#This Row],[WHRS RH]],1))</f>
        <v>0</v>
      </c>
      <c r="Z495" s="8"/>
      <c r="AA495" s="1"/>
      <c r="AB495" s="1"/>
      <c r="AC495" s="1"/>
      <c r="AD495" s="1"/>
      <c r="AE495" s="1"/>
      <c r="AF495" s="1" t="str">
        <f t="shared" si="23"/>
        <v/>
      </c>
      <c r="AG495" s="1" t="str">
        <f t="shared" si="24"/>
        <v/>
      </c>
      <c r="AH495" s="1" t="str">
        <f t="shared" si="25"/>
        <v/>
      </c>
      <c r="AI495" s="1" t="str">
        <f>IF(AH495="", "", SUM($AH$4:AH495))</f>
        <v/>
      </c>
      <c r="AJ495" s="9"/>
    </row>
    <row r="496" spans="1:36">
      <c r="A496" s="7"/>
      <c r="W496" s="1" t="str">
        <f>IF(Table1[[#This Row],[WHRS NET KW TOTAL]]="","", Table1[[#This Row],[WHRS NET KW TOTAL]]-U495)</f>
        <v/>
      </c>
      <c r="X496" s="6">
        <f>Table1[[#This Row],[WHRS  KW TOTAL]]-V495</f>
        <v>0</v>
      </c>
      <c r="Y496" s="6" t="b">
        <f>IF(AND(Table1[[#This Row],[WHRS KW RECOVERED PER DAY]]&lt;&gt;0,Table1[[#This Row],[WHRS RH]]&lt;&gt;0),ROUND(Table1[[#This Row],[WHRS KW RECOVERED PER DAY]]/Table1[[#This Row],[WHRS RH]],1))</f>
        <v>0</v>
      </c>
      <c r="Z496" s="8"/>
      <c r="AA496" s="1"/>
      <c r="AB496" s="1"/>
      <c r="AC496" s="1"/>
      <c r="AD496" s="1"/>
      <c r="AE496" s="1"/>
      <c r="AF496" s="1" t="str">
        <f t="shared" si="23"/>
        <v/>
      </c>
      <c r="AG496" s="1" t="str">
        <f t="shared" si="24"/>
        <v/>
      </c>
      <c r="AH496" s="1" t="str">
        <f t="shared" si="25"/>
        <v/>
      </c>
      <c r="AI496" s="1" t="str">
        <f>IF(AH496="", "", SUM($AH$4:AH496))</f>
        <v/>
      </c>
      <c r="AJ496" s="9"/>
    </row>
    <row r="497" spans="1:36">
      <c r="A497" s="7"/>
      <c r="W497" s="1" t="str">
        <f>IF(Table1[[#This Row],[WHRS NET KW TOTAL]]="","", Table1[[#This Row],[WHRS NET KW TOTAL]]-U496)</f>
        <v/>
      </c>
      <c r="X497" s="6">
        <f>Table1[[#This Row],[WHRS  KW TOTAL]]-V496</f>
        <v>0</v>
      </c>
      <c r="Y497" s="6" t="b">
        <f>IF(AND(Table1[[#This Row],[WHRS KW RECOVERED PER DAY]]&lt;&gt;0,Table1[[#This Row],[WHRS RH]]&lt;&gt;0),ROUND(Table1[[#This Row],[WHRS KW RECOVERED PER DAY]]/Table1[[#This Row],[WHRS RH]],1))</f>
        <v>0</v>
      </c>
      <c r="Z497" s="8"/>
      <c r="AA497" s="1"/>
      <c r="AB497" s="1"/>
      <c r="AC497" s="1"/>
      <c r="AD497" s="1"/>
      <c r="AE497" s="1"/>
      <c r="AF497" s="1"/>
      <c r="AG497" s="1" t="str">
        <f t="shared" si="24"/>
        <v/>
      </c>
      <c r="AH497" s="1" t="str">
        <f t="shared" si="25"/>
        <v/>
      </c>
      <c r="AI497" s="1" t="str">
        <f>IF(AH497="", "", SUM($AH$4:AH497))</f>
        <v/>
      </c>
      <c r="AJ497" s="9"/>
    </row>
    <row r="498" spans="1:36">
      <c r="A498" s="7"/>
      <c r="W498" s="1" t="str">
        <f>IF(Table1[[#This Row],[WHRS NET KW TOTAL]]="","", Table1[[#This Row],[WHRS NET KW TOTAL]]-U497)</f>
        <v/>
      </c>
      <c r="X498" s="6">
        <f>Table1[[#This Row],[WHRS  KW TOTAL]]-V497</f>
        <v>0</v>
      </c>
      <c r="Y498" s="6" t="b">
        <f>IF(AND(Table1[[#This Row],[WHRS KW RECOVERED PER DAY]]&lt;&gt;0,Table1[[#This Row],[WHRS RH]]&lt;&gt;0),ROUND(Table1[[#This Row],[WHRS KW RECOVERED PER DAY]]/Table1[[#This Row],[WHRS RH]],1))</f>
        <v>0</v>
      </c>
      <c r="Z498" s="8"/>
      <c r="AA498" s="1"/>
      <c r="AB498" s="1"/>
      <c r="AC498" s="1"/>
      <c r="AD498" s="1"/>
      <c r="AE498" s="1"/>
      <c r="AF498" s="1"/>
      <c r="AG498" s="1" t="str">
        <f t="shared" si="24"/>
        <v/>
      </c>
      <c r="AH498" s="1" t="str">
        <f t="shared" si="25"/>
        <v/>
      </c>
      <c r="AI498" s="1" t="str">
        <f>IF(AH498="", "", SUM($AH$4:AH498))</f>
        <v/>
      </c>
      <c r="AJ498" s="9"/>
    </row>
    <row r="499" spans="1:36">
      <c r="A499" s="7"/>
      <c r="W499" s="1" t="str">
        <f>IF(Table1[[#This Row],[WHRS NET KW TOTAL]]="","", Table1[[#This Row],[WHRS NET KW TOTAL]]-U498)</f>
        <v/>
      </c>
      <c r="X499" s="6">
        <f>Table1[[#This Row],[WHRS  KW TOTAL]]-V498</f>
        <v>0</v>
      </c>
      <c r="Y499" s="6" t="b">
        <f>IF(AND(Table1[[#This Row],[WHRS KW RECOVERED PER DAY]]&lt;&gt;0,Table1[[#This Row],[WHRS RH]]&lt;&gt;0),ROUND(Table1[[#This Row],[WHRS KW RECOVERED PER DAY]]/Table1[[#This Row],[WHRS RH]],1))</f>
        <v>0</v>
      </c>
      <c r="Z499" s="8"/>
      <c r="AA499" s="1"/>
      <c r="AB499" s="1"/>
      <c r="AC499" s="1"/>
      <c r="AD499" s="1"/>
      <c r="AE499" s="1"/>
      <c r="AF499" s="1"/>
      <c r="AG499" s="1" t="str">
        <f t="shared" si="24"/>
        <v/>
      </c>
      <c r="AH499" s="1" t="str">
        <f t="shared" si="25"/>
        <v/>
      </c>
      <c r="AI499" s="1" t="str">
        <f>IF(AH499="", "", SUM($AH$4:AH499))</f>
        <v/>
      </c>
      <c r="AJ499" s="9"/>
    </row>
    <row r="500" spans="1:36">
      <c r="A500" s="7"/>
      <c r="W500" s="1" t="str">
        <f>IF(Table1[[#This Row],[WHRS NET KW TOTAL]]="","", Table1[[#This Row],[WHRS NET KW TOTAL]]-U499)</f>
        <v/>
      </c>
      <c r="X500" s="6">
        <f>Table1[[#This Row],[WHRS  KW TOTAL]]-V499</f>
        <v>0</v>
      </c>
      <c r="Y500" s="6" t="b">
        <f>IF(AND(Table1[[#This Row],[WHRS KW RECOVERED PER DAY]]&lt;&gt;0,Table1[[#This Row],[WHRS RH]]&lt;&gt;0),ROUND(Table1[[#This Row],[WHRS KW RECOVERED PER DAY]]/Table1[[#This Row],[WHRS RH]],1))</f>
        <v>0</v>
      </c>
      <c r="Z500" s="8"/>
      <c r="AA500" s="1"/>
      <c r="AB500" s="1"/>
      <c r="AC500" s="1"/>
      <c r="AD500" s="1"/>
      <c r="AE500" s="1"/>
      <c r="AF500" s="1"/>
      <c r="AG500" s="1" t="str">
        <f t="shared" si="24"/>
        <v/>
      </c>
      <c r="AH500" s="1" t="str">
        <f t="shared" si="25"/>
        <v/>
      </c>
      <c r="AI500" s="1" t="str">
        <f>IF(AH500="", "", SUM($AH$4:AH500))</f>
        <v/>
      </c>
      <c r="AJ500" s="9"/>
    </row>
    <row r="501" spans="1:36">
      <c r="A501" s="7"/>
      <c r="W501" s="1" t="str">
        <f>IF(Table1[[#This Row],[WHRS NET KW TOTAL]]="","", Table1[[#This Row],[WHRS NET KW TOTAL]]-U500)</f>
        <v/>
      </c>
      <c r="X501" s="6">
        <f>Table1[[#This Row],[WHRS  KW TOTAL]]-V500</f>
        <v>0</v>
      </c>
      <c r="Y501" s="6" t="b">
        <f>IF(AND(Table1[[#This Row],[WHRS KW RECOVERED PER DAY]]&lt;&gt;0,Table1[[#This Row],[WHRS RH]]&lt;&gt;0),ROUND(Table1[[#This Row],[WHRS KW RECOVERED PER DAY]]/Table1[[#This Row],[WHRS RH]],1))</f>
        <v>0</v>
      </c>
      <c r="Z501" s="8"/>
      <c r="AA501" s="1"/>
      <c r="AB501" s="1"/>
      <c r="AC501" s="1"/>
      <c r="AD501" s="1"/>
      <c r="AE501" s="1"/>
      <c r="AF501" s="1"/>
      <c r="AG501" s="1" t="str">
        <f t="shared" si="24"/>
        <v/>
      </c>
      <c r="AH501" s="1" t="str">
        <f t="shared" si="25"/>
        <v/>
      </c>
      <c r="AI501" s="1" t="str">
        <f>IF(AH501="", "", SUM($AH$4:AH501))</f>
        <v/>
      </c>
      <c r="AJ501" s="9"/>
    </row>
    <row r="502" spans="1:36">
      <c r="A502" s="7"/>
      <c r="W502" s="1" t="str">
        <f>IF(Table1[[#This Row],[WHRS NET KW TOTAL]]="","", Table1[[#This Row],[WHRS NET KW TOTAL]]-U501)</f>
        <v/>
      </c>
      <c r="X502" s="6">
        <f>Table1[[#This Row],[WHRS  KW TOTAL]]-V501</f>
        <v>0</v>
      </c>
      <c r="Y502" s="6" t="b">
        <f>IF(AND(Table1[[#This Row],[WHRS KW RECOVERED PER DAY]]&lt;&gt;0,Table1[[#This Row],[WHRS RH]]&lt;&gt;0),ROUND(Table1[[#This Row],[WHRS KW RECOVERED PER DAY]]/Table1[[#This Row],[WHRS RH]],1))</f>
        <v>0</v>
      </c>
      <c r="Z502" s="8"/>
      <c r="AA502" s="1"/>
      <c r="AB502" s="1"/>
      <c r="AC502" s="1"/>
      <c r="AD502" s="1"/>
      <c r="AE502" s="1"/>
      <c r="AF502" s="1"/>
      <c r="AG502" s="1" t="str">
        <f t="shared" si="24"/>
        <v/>
      </c>
      <c r="AH502" s="1" t="str">
        <f t="shared" si="25"/>
        <v/>
      </c>
      <c r="AI502" s="1" t="str">
        <f>IF(AH502="", "", SUM($AH$4:AH502))</f>
        <v/>
      </c>
      <c r="AJ502" s="9"/>
    </row>
    <row r="503" spans="1:36">
      <c r="A503" s="7"/>
      <c r="W503" s="1" t="str">
        <f>IF(Table1[[#This Row],[WHRS NET KW TOTAL]]="","", Table1[[#This Row],[WHRS NET KW TOTAL]]-U502)</f>
        <v/>
      </c>
      <c r="X503" s="6">
        <f>Table1[[#This Row],[WHRS  KW TOTAL]]-V502</f>
        <v>0</v>
      </c>
      <c r="Y503" s="6" t="b">
        <f>IF(AND(Table1[[#This Row],[WHRS KW RECOVERED PER DAY]]&lt;&gt;0,Table1[[#This Row],[WHRS RH]]&lt;&gt;0),ROUND(Table1[[#This Row],[WHRS KW RECOVERED PER DAY]]/Table1[[#This Row],[WHRS RH]],1))</f>
        <v>0</v>
      </c>
      <c r="Z503" s="8"/>
      <c r="AA503" s="1"/>
      <c r="AB503" s="1"/>
      <c r="AC503" s="1"/>
      <c r="AD503" s="1"/>
      <c r="AE503" s="1"/>
      <c r="AF503" s="1"/>
      <c r="AG503" s="1" t="str">
        <f t="shared" si="24"/>
        <v/>
      </c>
      <c r="AH503" s="1" t="str">
        <f t="shared" si="25"/>
        <v/>
      </c>
      <c r="AI503" s="1" t="str">
        <f>IF(AH503="", "", SUM($AH$4:AH503))</f>
        <v/>
      </c>
      <c r="AJ503" s="9"/>
    </row>
    <row r="504" spans="1:36">
      <c r="A504" s="7"/>
      <c r="W504" s="1" t="str">
        <f>IF(Table1[[#This Row],[WHRS NET KW TOTAL]]="","", Table1[[#This Row],[WHRS NET KW TOTAL]]-U503)</f>
        <v/>
      </c>
      <c r="X504" s="6">
        <f>Table1[[#This Row],[WHRS  KW TOTAL]]-V503</f>
        <v>0</v>
      </c>
      <c r="Y504" s="6" t="b">
        <f>IF(AND(Table1[[#This Row],[WHRS KW RECOVERED PER DAY]]&lt;&gt;0,Table1[[#This Row],[WHRS RH]]&lt;&gt;0),ROUND(Table1[[#This Row],[WHRS KW RECOVERED PER DAY]]/Table1[[#This Row],[WHRS RH]],1))</f>
        <v>0</v>
      </c>
      <c r="Z504" s="8"/>
      <c r="AA504" s="1"/>
      <c r="AB504" s="1"/>
      <c r="AC504" s="1"/>
      <c r="AD504" s="1"/>
      <c r="AE504" s="1"/>
      <c r="AF504" s="1"/>
      <c r="AG504" s="1" t="str">
        <f t="shared" si="24"/>
        <v/>
      </c>
      <c r="AH504" s="1" t="str">
        <f t="shared" si="25"/>
        <v/>
      </c>
      <c r="AI504" s="1" t="str">
        <f>IF(AH504="", "", SUM($AH$4:AH504))</f>
        <v/>
      </c>
      <c r="AJ504" s="9"/>
    </row>
    <row r="505" spans="1:36">
      <c r="A505" s="7"/>
      <c r="W505" s="1" t="str">
        <f>IF(Table1[[#This Row],[WHRS NET KW TOTAL]]="","", Table1[[#This Row],[WHRS NET KW TOTAL]]-U504)</f>
        <v/>
      </c>
      <c r="X505" s="6">
        <f>Table1[[#This Row],[WHRS  KW TOTAL]]-V504</f>
        <v>0</v>
      </c>
      <c r="Y505" s="6" t="b">
        <f>IF(AND(Table1[[#This Row],[WHRS KW RECOVERED PER DAY]]&lt;&gt;0,Table1[[#This Row],[WHRS RH]]&lt;&gt;0),ROUND(Table1[[#This Row],[WHRS KW RECOVERED PER DAY]]/Table1[[#This Row],[WHRS RH]],1))</f>
        <v>0</v>
      </c>
      <c r="Z505" s="8"/>
      <c r="AA505" s="1"/>
      <c r="AB505" s="1"/>
      <c r="AC505" s="1"/>
      <c r="AD505" s="1"/>
      <c r="AE505" s="1"/>
      <c r="AF505" s="1"/>
      <c r="AG505" s="1" t="str">
        <f t="shared" si="24"/>
        <v/>
      </c>
      <c r="AH505" s="1" t="str">
        <f t="shared" si="25"/>
        <v/>
      </c>
      <c r="AI505" s="1" t="str">
        <f>IF(AH505="", "", SUM($AH$4:AH505))</f>
        <v/>
      </c>
      <c r="AJ505" s="9"/>
    </row>
    <row r="506" spans="1:36">
      <c r="A506" s="7"/>
      <c r="W506" s="1" t="str">
        <f>IF(Table1[[#This Row],[WHRS NET KW TOTAL]]="","", Table1[[#This Row],[WHRS NET KW TOTAL]]-U505)</f>
        <v/>
      </c>
      <c r="X506" s="6">
        <f>Table1[[#This Row],[WHRS  KW TOTAL]]-V505</f>
        <v>0</v>
      </c>
      <c r="Y506" s="6" t="b">
        <f>IF(AND(Table1[[#This Row],[WHRS KW RECOVERED PER DAY]]&lt;&gt;0,Table1[[#This Row],[WHRS RH]]&lt;&gt;0),ROUND(Table1[[#This Row],[WHRS KW RECOVERED PER DAY]]/Table1[[#This Row],[WHRS RH]],1))</f>
        <v>0</v>
      </c>
      <c r="Z506" s="8"/>
      <c r="AA506" s="1"/>
      <c r="AB506" s="1"/>
      <c r="AC506" s="1"/>
      <c r="AD506" s="1"/>
      <c r="AE506" s="1"/>
      <c r="AF506" s="1"/>
      <c r="AG506" s="1" t="str">
        <f t="shared" si="24"/>
        <v/>
      </c>
      <c r="AH506" s="1" t="str">
        <f t="shared" si="25"/>
        <v/>
      </c>
      <c r="AI506" s="1" t="str">
        <f>IF(AH506="", "", SUM($AH$4:AH506))</f>
        <v/>
      </c>
      <c r="AJ506" s="9"/>
    </row>
    <row r="507" spans="1:36">
      <c r="A507" s="7"/>
      <c r="W507" s="1" t="str">
        <f>IF(Table1[[#This Row],[WHRS NET KW TOTAL]]="","", Table1[[#This Row],[WHRS NET KW TOTAL]]-U506)</f>
        <v/>
      </c>
      <c r="X507" s="6">
        <f>Table1[[#This Row],[WHRS  KW TOTAL]]-V506</f>
        <v>0</v>
      </c>
      <c r="Y507" s="6" t="b">
        <f>IF(AND(Table1[[#This Row],[WHRS KW RECOVERED PER DAY]]&lt;&gt;0,Table1[[#This Row],[WHRS RH]]&lt;&gt;0),ROUND(Table1[[#This Row],[WHRS KW RECOVERED PER DAY]]/Table1[[#This Row],[WHRS RH]],1))</f>
        <v>0</v>
      </c>
      <c r="Z507" s="8"/>
      <c r="AA507" s="1"/>
      <c r="AB507" s="1"/>
      <c r="AC507" s="1"/>
      <c r="AD507" s="1"/>
      <c r="AE507" s="1"/>
      <c r="AF507" s="1"/>
      <c r="AG507" s="1" t="str">
        <f t="shared" si="24"/>
        <v/>
      </c>
      <c r="AH507" s="1" t="str">
        <f t="shared" si="25"/>
        <v/>
      </c>
      <c r="AI507" s="1" t="str">
        <f>IF(AH507="", "", SUM($AH$4:AH507))</f>
        <v/>
      </c>
      <c r="AJ507" s="9"/>
    </row>
    <row r="508" spans="1:36">
      <c r="A508" s="7"/>
      <c r="W508" s="1" t="str">
        <f>IF(Table1[[#This Row],[WHRS NET KW TOTAL]]="","", Table1[[#This Row],[WHRS NET KW TOTAL]]-U507)</f>
        <v/>
      </c>
      <c r="X508" s="6">
        <f>Table1[[#This Row],[WHRS  KW TOTAL]]-V507</f>
        <v>0</v>
      </c>
      <c r="Y508" s="6" t="b">
        <f>IF(AND(Table1[[#This Row],[WHRS KW RECOVERED PER DAY]]&lt;&gt;0,Table1[[#This Row],[WHRS RH]]&lt;&gt;0),ROUND(Table1[[#This Row],[WHRS KW RECOVERED PER DAY]]/Table1[[#This Row],[WHRS RH]],1))</f>
        <v>0</v>
      </c>
      <c r="Z508" s="8"/>
      <c r="AA508" s="1"/>
      <c r="AB508" s="1"/>
      <c r="AC508" s="1"/>
      <c r="AD508" s="1"/>
      <c r="AE508" s="1"/>
      <c r="AF508" s="1"/>
      <c r="AG508" s="1" t="str">
        <f t="shared" si="24"/>
        <v/>
      </c>
      <c r="AH508" s="1" t="str">
        <f t="shared" si="25"/>
        <v/>
      </c>
      <c r="AI508" s="1" t="str">
        <f>IF(AH508="", "", SUM($AH$4:AH508))</f>
        <v/>
      </c>
      <c r="AJ508" s="9"/>
    </row>
    <row r="509" spans="1:36">
      <c r="A509" s="7"/>
      <c r="W509" s="1" t="str">
        <f>IF(Table1[[#This Row],[WHRS NET KW TOTAL]]="","", Table1[[#This Row],[WHRS NET KW TOTAL]]-U508)</f>
        <v/>
      </c>
      <c r="X509" s="6">
        <f>Table1[[#This Row],[WHRS  KW TOTAL]]-V508</f>
        <v>0</v>
      </c>
      <c r="Y509" s="6" t="b">
        <f>IF(AND(Table1[[#This Row],[WHRS KW RECOVERED PER DAY]]&lt;&gt;0,Table1[[#This Row],[WHRS RH]]&lt;&gt;0),ROUND(Table1[[#This Row],[WHRS KW RECOVERED PER DAY]]/Table1[[#This Row],[WHRS RH]],1))</f>
        <v>0</v>
      </c>
      <c r="Z509" s="8"/>
      <c r="AA509" s="1"/>
      <c r="AB509" s="1"/>
      <c r="AC509" s="1"/>
      <c r="AD509" s="1"/>
      <c r="AE509" s="1"/>
      <c r="AF509" s="1"/>
      <c r="AG509" s="1" t="str">
        <f t="shared" si="24"/>
        <v/>
      </c>
      <c r="AH509" s="1" t="str">
        <f t="shared" si="25"/>
        <v/>
      </c>
      <c r="AI509" s="1" t="str">
        <f>IF(AH509="", "", SUM($AH$4:AH509))</f>
        <v/>
      </c>
      <c r="AJ509" s="9"/>
    </row>
    <row r="510" spans="1:36">
      <c r="A510" s="7"/>
      <c r="W510" s="1" t="str">
        <f>IF(Table1[[#This Row],[WHRS NET KW TOTAL]]="","", Table1[[#This Row],[WHRS NET KW TOTAL]]-U509)</f>
        <v/>
      </c>
      <c r="X510" s="6">
        <f>Table1[[#This Row],[WHRS  KW TOTAL]]-V509</f>
        <v>0</v>
      </c>
      <c r="Y510" s="6" t="b">
        <f>IF(AND(Table1[[#This Row],[WHRS KW RECOVERED PER DAY]]&lt;&gt;0,Table1[[#This Row],[WHRS RH]]&lt;&gt;0),ROUND(Table1[[#This Row],[WHRS KW RECOVERED PER DAY]]/Table1[[#This Row],[WHRS RH]],1))</f>
        <v>0</v>
      </c>
      <c r="Z510" s="8"/>
      <c r="AA510" s="1"/>
      <c r="AB510" s="1"/>
      <c r="AC510" s="1"/>
      <c r="AD510" s="1"/>
      <c r="AE510" s="1"/>
      <c r="AF510" s="1"/>
      <c r="AG510" s="1" t="str">
        <f t="shared" si="24"/>
        <v/>
      </c>
      <c r="AH510" s="1" t="str">
        <f t="shared" si="25"/>
        <v/>
      </c>
      <c r="AI510" s="1" t="str">
        <f>IF(AH510="", "", SUM($AH$4:AH510))</f>
        <v/>
      </c>
      <c r="AJ510" s="9"/>
    </row>
    <row r="511" spans="1:36">
      <c r="A511" s="7"/>
      <c r="W511" s="1" t="str">
        <f>IF(Table1[[#This Row],[WHRS NET KW TOTAL]]="","", Table1[[#This Row],[WHRS NET KW TOTAL]]-U510)</f>
        <v/>
      </c>
      <c r="X511" s="6">
        <f>Table1[[#This Row],[WHRS  KW TOTAL]]-V510</f>
        <v>0</v>
      </c>
      <c r="Y511" s="6" t="b">
        <f>IF(AND(Table1[[#This Row],[WHRS KW RECOVERED PER DAY]]&lt;&gt;0,Table1[[#This Row],[WHRS RH]]&lt;&gt;0),ROUND(Table1[[#This Row],[WHRS KW RECOVERED PER DAY]]/Table1[[#This Row],[WHRS RH]],1))</f>
        <v>0</v>
      </c>
      <c r="Z511" s="8"/>
      <c r="AA511" s="1"/>
      <c r="AB511" s="1"/>
      <c r="AC511" s="1"/>
      <c r="AD511" s="1"/>
      <c r="AE511" s="1"/>
      <c r="AF511" s="1"/>
      <c r="AG511" s="1" t="str">
        <f t="shared" si="24"/>
        <v/>
      </c>
      <c r="AH511" s="1" t="str">
        <f t="shared" si="25"/>
        <v/>
      </c>
      <c r="AI511" s="1" t="str">
        <f>IF(AH511="", "", SUM($AH$4:AH511))</f>
        <v/>
      </c>
      <c r="AJ511" s="9"/>
    </row>
    <row r="512" spans="1:36">
      <c r="A512" s="7"/>
      <c r="W512" s="1" t="str">
        <f>IF(Table1[[#This Row],[WHRS NET KW TOTAL]]="","", Table1[[#This Row],[WHRS NET KW TOTAL]]-U511)</f>
        <v/>
      </c>
      <c r="X512" s="6">
        <f>Table1[[#This Row],[WHRS  KW TOTAL]]-V511</f>
        <v>0</v>
      </c>
      <c r="Y512" s="6" t="b">
        <f>IF(AND(Table1[[#This Row],[WHRS KW RECOVERED PER DAY]]&lt;&gt;0,Table1[[#This Row],[WHRS RH]]&lt;&gt;0),ROUND(Table1[[#This Row],[WHRS KW RECOVERED PER DAY]]/Table1[[#This Row],[WHRS RH]],1))</f>
        <v>0</v>
      </c>
      <c r="Z512" s="8"/>
      <c r="AA512" s="1"/>
      <c r="AB512" s="1"/>
      <c r="AC512" s="1"/>
      <c r="AD512" s="1"/>
      <c r="AE512" s="1"/>
      <c r="AF512" s="1"/>
      <c r="AG512" s="1" t="str">
        <f t="shared" si="24"/>
        <v/>
      </c>
      <c r="AH512" s="1" t="str">
        <f t="shared" si="25"/>
        <v/>
      </c>
      <c r="AI512" s="1" t="str">
        <f>IF(AH512="", "", SUM($AH$4:AH512))</f>
        <v/>
      </c>
      <c r="AJ512" s="9"/>
    </row>
    <row r="513" spans="1:36">
      <c r="A513" s="7"/>
      <c r="W513" s="1" t="str">
        <f>IF(Table1[[#This Row],[WHRS NET KW TOTAL]]="","", Table1[[#This Row],[WHRS NET KW TOTAL]]-U512)</f>
        <v/>
      </c>
      <c r="X513" s="6">
        <f>Table1[[#This Row],[WHRS  KW TOTAL]]-V512</f>
        <v>0</v>
      </c>
      <c r="Y513" s="6" t="b">
        <f>IF(AND(Table1[[#This Row],[WHRS KW RECOVERED PER DAY]]&lt;&gt;0,Table1[[#This Row],[WHRS RH]]&lt;&gt;0),ROUND(Table1[[#This Row],[WHRS KW RECOVERED PER DAY]]/Table1[[#This Row],[WHRS RH]],1))</f>
        <v>0</v>
      </c>
      <c r="Z513" s="8"/>
      <c r="AA513" s="1"/>
      <c r="AB513" s="1"/>
      <c r="AC513" s="1"/>
      <c r="AD513" s="1"/>
      <c r="AE513" s="1"/>
      <c r="AF513" s="1"/>
      <c r="AG513" s="1" t="str">
        <f t="shared" si="24"/>
        <v/>
      </c>
      <c r="AH513" s="1" t="str">
        <f t="shared" si="25"/>
        <v/>
      </c>
      <c r="AI513" s="1" t="str">
        <f>IF(AH513="", "", SUM($AH$4:AH513))</f>
        <v/>
      </c>
      <c r="AJ513" s="9"/>
    </row>
    <row r="514" spans="1:36">
      <c r="A514" s="7"/>
      <c r="W514" s="1" t="str">
        <f>IF(Table1[[#This Row],[WHRS NET KW TOTAL]]="","", Table1[[#This Row],[WHRS NET KW TOTAL]]-U513)</f>
        <v/>
      </c>
      <c r="X514" s="6">
        <f>Table1[[#This Row],[WHRS  KW TOTAL]]-V513</f>
        <v>0</v>
      </c>
      <c r="Y514" s="6" t="b">
        <f>IF(AND(Table1[[#This Row],[WHRS KW RECOVERED PER DAY]]&lt;&gt;0,Table1[[#This Row],[WHRS RH]]&lt;&gt;0),ROUND(Table1[[#This Row],[WHRS KW RECOVERED PER DAY]]/Table1[[#This Row],[WHRS RH]],1))</f>
        <v>0</v>
      </c>
      <c r="Z514" s="8"/>
      <c r="AA514" s="1"/>
      <c r="AB514" s="1"/>
      <c r="AC514" s="1"/>
      <c r="AD514" s="1"/>
      <c r="AE514" s="1"/>
      <c r="AF514" s="1"/>
      <c r="AG514" s="1" t="str">
        <f t="shared" si="24"/>
        <v/>
      </c>
      <c r="AH514" s="1" t="str">
        <f t="shared" si="25"/>
        <v/>
      </c>
      <c r="AI514" s="1" t="str">
        <f>IF(AH514="", "", SUM($AH$4:AH514))</f>
        <v/>
      </c>
      <c r="AJ514" s="9"/>
    </row>
    <row r="515" spans="1:36">
      <c r="A515" s="7"/>
      <c r="W515" s="1" t="str">
        <f>IF(Table1[[#This Row],[WHRS NET KW TOTAL]]="","", Table1[[#This Row],[WHRS NET KW TOTAL]]-U514)</f>
        <v/>
      </c>
      <c r="X515" s="6">
        <f>Table1[[#This Row],[WHRS  KW TOTAL]]-V514</f>
        <v>0</v>
      </c>
      <c r="Y515" s="6" t="b">
        <f>IF(AND(Table1[[#This Row],[WHRS KW RECOVERED PER DAY]]&lt;&gt;0,Table1[[#This Row],[WHRS RH]]&lt;&gt;0),ROUND(Table1[[#This Row],[WHRS KW RECOVERED PER DAY]]/Table1[[#This Row],[WHRS RH]],1))</f>
        <v>0</v>
      </c>
      <c r="Z515" s="8"/>
      <c r="AA515" s="1"/>
      <c r="AB515" s="1"/>
      <c r="AC515" s="1"/>
      <c r="AD515" s="1"/>
      <c r="AE515" s="1"/>
      <c r="AF515" s="1"/>
      <c r="AG515" s="1" t="str">
        <f t="shared" si="24"/>
        <v/>
      </c>
      <c r="AH515" s="1" t="str">
        <f t="shared" si="25"/>
        <v/>
      </c>
      <c r="AI515" s="1" t="str">
        <f>IF(AH515="", "", SUM($AH$4:AH515))</f>
        <v/>
      </c>
      <c r="AJ515" s="9"/>
    </row>
    <row r="516" spans="1:36">
      <c r="A516" s="7"/>
      <c r="W516" s="1" t="str">
        <f>IF(Table1[[#This Row],[WHRS NET KW TOTAL]]="","", Table1[[#This Row],[WHRS NET KW TOTAL]]-U515)</f>
        <v/>
      </c>
      <c r="X516" s="6">
        <f>Table1[[#This Row],[WHRS  KW TOTAL]]-V515</f>
        <v>0</v>
      </c>
      <c r="Y516" s="6" t="b">
        <f>IF(AND(Table1[[#This Row],[WHRS KW RECOVERED PER DAY]]&lt;&gt;0,Table1[[#This Row],[WHRS RH]]&lt;&gt;0),ROUND(Table1[[#This Row],[WHRS KW RECOVERED PER DAY]]/Table1[[#This Row],[WHRS RH]],1))</f>
        <v>0</v>
      </c>
      <c r="Z516" s="8"/>
      <c r="AA516" s="1"/>
      <c r="AB516" s="1"/>
      <c r="AC516" s="1"/>
      <c r="AD516" s="1"/>
      <c r="AE516" s="1"/>
      <c r="AF516" s="1"/>
      <c r="AG516" s="1" t="str">
        <f t="shared" si="24"/>
        <v/>
      </c>
      <c r="AH516" s="1" t="str">
        <f t="shared" si="25"/>
        <v/>
      </c>
      <c r="AI516" s="1" t="str">
        <f>IF(AH516="", "", SUM($AH$4:AH516))</f>
        <v/>
      </c>
      <c r="AJ516" s="9"/>
    </row>
    <row r="517" spans="1:36">
      <c r="A517" s="7"/>
      <c r="W517" s="1" t="str">
        <f>IF(Table1[[#This Row],[WHRS NET KW TOTAL]]="","", Table1[[#This Row],[WHRS NET KW TOTAL]]-U516)</f>
        <v/>
      </c>
      <c r="X517" s="6">
        <f>Table1[[#This Row],[WHRS  KW TOTAL]]-V516</f>
        <v>0</v>
      </c>
      <c r="Y517" s="6" t="b">
        <f>IF(AND(Table1[[#This Row],[WHRS KW RECOVERED PER DAY]]&lt;&gt;0,Table1[[#This Row],[WHRS RH]]&lt;&gt;0),ROUND(Table1[[#This Row],[WHRS KW RECOVERED PER DAY]]/Table1[[#This Row],[WHRS RH]],1))</f>
        <v>0</v>
      </c>
      <c r="Z517" s="8"/>
      <c r="AA517" s="1"/>
      <c r="AB517" s="1"/>
      <c r="AC517" s="1"/>
      <c r="AD517" s="1"/>
      <c r="AE517" s="1"/>
      <c r="AF517" s="1"/>
      <c r="AG517" s="1" t="str">
        <f t="shared" ref="AG517:AG580" si="26">IF(C517="", "", _xlfn.IFS(C517="LNG", 1345, C517="LSMGO", 1280, C517="VLSFO", 820, C517="HSFO", 635, TRUE, ""))</f>
        <v/>
      </c>
      <c r="AH517" s="1" t="str">
        <f t="shared" ref="AH517:AH580" si="27">IF(OR(W517="", AF517="", AG517=""), "", W517 * (AF517 / 1000000) * AG517)</f>
        <v/>
      </c>
      <c r="AI517" s="1" t="str">
        <f>IF(AH517="", "", SUM($AH$4:AH517))</f>
        <v/>
      </c>
      <c r="AJ517" s="9"/>
    </row>
    <row r="518" spans="1:36">
      <c r="A518" s="7"/>
      <c r="W518" s="1" t="str">
        <f>IF(Table1[[#This Row],[WHRS NET KW TOTAL]]="","", Table1[[#This Row],[WHRS NET KW TOTAL]]-U517)</f>
        <v/>
      </c>
      <c r="X518" s="6">
        <f>Table1[[#This Row],[WHRS  KW TOTAL]]-V517</f>
        <v>0</v>
      </c>
      <c r="Y518" s="6" t="b">
        <f>IF(AND(Table1[[#This Row],[WHRS KW RECOVERED PER DAY]]&lt;&gt;0,Table1[[#This Row],[WHRS RH]]&lt;&gt;0),ROUND(Table1[[#This Row],[WHRS KW RECOVERED PER DAY]]/Table1[[#This Row],[WHRS RH]],1))</f>
        <v>0</v>
      </c>
      <c r="Z518" s="8"/>
      <c r="AA518" s="1"/>
      <c r="AB518" s="1"/>
      <c r="AC518" s="1"/>
      <c r="AD518" s="1"/>
      <c r="AE518" s="1"/>
      <c r="AF518" s="1"/>
      <c r="AG518" s="1" t="str">
        <f t="shared" si="26"/>
        <v/>
      </c>
      <c r="AH518" s="1" t="str">
        <f t="shared" si="27"/>
        <v/>
      </c>
      <c r="AI518" s="1" t="str">
        <f>IF(AH518="", "", SUM($AH$4:AH518))</f>
        <v/>
      </c>
      <c r="AJ518" s="9"/>
    </row>
    <row r="519" spans="1:36">
      <c r="A519" s="7"/>
      <c r="W519" s="1" t="str">
        <f>IF(Table1[[#This Row],[WHRS NET KW TOTAL]]="","", Table1[[#This Row],[WHRS NET KW TOTAL]]-U518)</f>
        <v/>
      </c>
      <c r="X519" s="6">
        <f>Table1[[#This Row],[WHRS  KW TOTAL]]-V518</f>
        <v>0</v>
      </c>
      <c r="Y519" s="6" t="b">
        <f>IF(AND(Table1[[#This Row],[WHRS KW RECOVERED PER DAY]]&lt;&gt;0,Table1[[#This Row],[WHRS RH]]&lt;&gt;0),ROUND(Table1[[#This Row],[WHRS KW RECOVERED PER DAY]]/Table1[[#This Row],[WHRS RH]],1))</f>
        <v>0</v>
      </c>
      <c r="Z519" s="8"/>
      <c r="AA519" s="1"/>
      <c r="AB519" s="1"/>
      <c r="AC519" s="1"/>
      <c r="AD519" s="1"/>
      <c r="AE519" s="1"/>
      <c r="AF519" s="1"/>
      <c r="AG519" s="1" t="str">
        <f t="shared" si="26"/>
        <v/>
      </c>
      <c r="AH519" s="1" t="str">
        <f t="shared" si="27"/>
        <v/>
      </c>
      <c r="AI519" s="1" t="str">
        <f>IF(AH519="", "", SUM($AH$4:AH519))</f>
        <v/>
      </c>
      <c r="AJ519" s="9"/>
    </row>
    <row r="520" spans="1:36">
      <c r="A520" s="7"/>
      <c r="W520" s="1" t="str">
        <f>IF(Table1[[#This Row],[WHRS NET KW TOTAL]]="","", Table1[[#This Row],[WHRS NET KW TOTAL]]-U519)</f>
        <v/>
      </c>
      <c r="X520" s="6">
        <f>Table1[[#This Row],[WHRS  KW TOTAL]]-V519</f>
        <v>0</v>
      </c>
      <c r="Y520" s="6" t="b">
        <f>IF(AND(Table1[[#This Row],[WHRS KW RECOVERED PER DAY]]&lt;&gt;0,Table1[[#This Row],[WHRS RH]]&lt;&gt;0),ROUND(Table1[[#This Row],[WHRS KW RECOVERED PER DAY]]/Table1[[#This Row],[WHRS RH]],1))</f>
        <v>0</v>
      </c>
      <c r="Z520" s="8"/>
      <c r="AA520" s="1"/>
      <c r="AB520" s="1"/>
      <c r="AC520" s="1"/>
      <c r="AD520" s="1"/>
      <c r="AE520" s="1"/>
      <c r="AF520" s="1"/>
      <c r="AG520" s="1" t="str">
        <f t="shared" si="26"/>
        <v/>
      </c>
      <c r="AH520" s="1" t="str">
        <f t="shared" si="27"/>
        <v/>
      </c>
      <c r="AI520" s="1" t="str">
        <f>IF(AH520="", "", SUM($AH$4:AH520))</f>
        <v/>
      </c>
      <c r="AJ520" s="9"/>
    </row>
    <row r="521" spans="1:36">
      <c r="A521" s="7"/>
      <c r="W521" s="1" t="str">
        <f>IF(Table1[[#This Row],[WHRS NET KW TOTAL]]="","", Table1[[#This Row],[WHRS NET KW TOTAL]]-U520)</f>
        <v/>
      </c>
      <c r="X521" s="6">
        <f>Table1[[#This Row],[WHRS  KW TOTAL]]-V520</f>
        <v>0</v>
      </c>
      <c r="Y521" s="6" t="b">
        <f>IF(AND(Table1[[#This Row],[WHRS KW RECOVERED PER DAY]]&lt;&gt;0,Table1[[#This Row],[WHRS RH]]&lt;&gt;0),ROUND(Table1[[#This Row],[WHRS KW RECOVERED PER DAY]]/Table1[[#This Row],[WHRS RH]],1))</f>
        <v>0</v>
      </c>
      <c r="Z521" s="8"/>
      <c r="AA521" s="1"/>
      <c r="AB521" s="1"/>
      <c r="AC521" s="1"/>
      <c r="AD521" s="1"/>
      <c r="AE521" s="1"/>
      <c r="AF521" s="1"/>
      <c r="AG521" s="1" t="str">
        <f t="shared" si="26"/>
        <v/>
      </c>
      <c r="AH521" s="1" t="str">
        <f t="shared" si="27"/>
        <v/>
      </c>
      <c r="AI521" s="1" t="str">
        <f>IF(AH521="", "", SUM($AH$4:AH521))</f>
        <v/>
      </c>
      <c r="AJ521" s="9"/>
    </row>
    <row r="522" spans="1:36">
      <c r="A522" s="7"/>
      <c r="W522" s="1" t="str">
        <f>IF(Table1[[#This Row],[WHRS NET KW TOTAL]]="","", Table1[[#This Row],[WHRS NET KW TOTAL]]-U521)</f>
        <v/>
      </c>
      <c r="X522" s="6">
        <f>Table1[[#This Row],[WHRS  KW TOTAL]]-V521</f>
        <v>0</v>
      </c>
      <c r="Y522" s="6" t="b">
        <f>IF(AND(Table1[[#This Row],[WHRS KW RECOVERED PER DAY]]&lt;&gt;0,Table1[[#This Row],[WHRS RH]]&lt;&gt;0),ROUND(Table1[[#This Row],[WHRS KW RECOVERED PER DAY]]/Table1[[#This Row],[WHRS RH]],1))</f>
        <v>0</v>
      </c>
      <c r="Z522" s="8"/>
      <c r="AA522" s="1"/>
      <c r="AB522" s="1"/>
      <c r="AC522" s="1"/>
      <c r="AD522" s="1"/>
      <c r="AE522" s="1"/>
      <c r="AF522" s="1"/>
      <c r="AG522" s="1" t="str">
        <f t="shared" si="26"/>
        <v/>
      </c>
      <c r="AH522" s="1" t="str">
        <f t="shared" si="27"/>
        <v/>
      </c>
      <c r="AI522" s="1" t="str">
        <f>IF(AH522="", "", SUM($AH$4:AH522))</f>
        <v/>
      </c>
      <c r="AJ522" s="9"/>
    </row>
    <row r="523" spans="1:36">
      <c r="A523" s="7"/>
      <c r="W523" s="1" t="str">
        <f>IF(Table1[[#This Row],[WHRS NET KW TOTAL]]="","", Table1[[#This Row],[WHRS NET KW TOTAL]]-U522)</f>
        <v/>
      </c>
      <c r="X523" s="6">
        <f>Table1[[#This Row],[WHRS  KW TOTAL]]-V522</f>
        <v>0</v>
      </c>
      <c r="Y523" s="6" t="b">
        <f>IF(AND(Table1[[#This Row],[WHRS KW RECOVERED PER DAY]]&lt;&gt;0,Table1[[#This Row],[WHRS RH]]&lt;&gt;0),ROUND(Table1[[#This Row],[WHRS KW RECOVERED PER DAY]]/Table1[[#This Row],[WHRS RH]],1))</f>
        <v>0</v>
      </c>
      <c r="Z523" s="8"/>
      <c r="AA523" s="1"/>
      <c r="AB523" s="1"/>
      <c r="AC523" s="1"/>
      <c r="AD523" s="1"/>
      <c r="AE523" s="1"/>
      <c r="AF523" s="1"/>
      <c r="AG523" s="1" t="str">
        <f t="shared" si="26"/>
        <v/>
      </c>
      <c r="AH523" s="1" t="str">
        <f t="shared" si="27"/>
        <v/>
      </c>
      <c r="AI523" s="1" t="str">
        <f>IF(AH523="", "", SUM($AH$4:AH523))</f>
        <v/>
      </c>
      <c r="AJ523" s="9"/>
    </row>
    <row r="524" spans="1:36">
      <c r="A524" s="7"/>
      <c r="W524" s="1" t="str">
        <f>IF(Table1[[#This Row],[WHRS NET KW TOTAL]]="","", Table1[[#This Row],[WHRS NET KW TOTAL]]-U523)</f>
        <v/>
      </c>
      <c r="X524" s="6">
        <f>Table1[[#This Row],[WHRS  KW TOTAL]]-V523</f>
        <v>0</v>
      </c>
      <c r="Y524" s="6" t="b">
        <f>IF(AND(Table1[[#This Row],[WHRS KW RECOVERED PER DAY]]&lt;&gt;0,Table1[[#This Row],[WHRS RH]]&lt;&gt;0),ROUND(Table1[[#This Row],[WHRS KW RECOVERED PER DAY]]/Table1[[#This Row],[WHRS RH]],1))</f>
        <v>0</v>
      </c>
      <c r="Z524" s="8"/>
      <c r="AA524" s="1"/>
      <c r="AB524" s="1"/>
      <c r="AC524" s="1"/>
      <c r="AD524" s="1"/>
      <c r="AE524" s="1"/>
      <c r="AF524" s="1"/>
      <c r="AG524" s="1" t="str">
        <f t="shared" si="26"/>
        <v/>
      </c>
      <c r="AH524" s="1" t="str">
        <f t="shared" si="27"/>
        <v/>
      </c>
      <c r="AI524" s="1" t="str">
        <f>IF(AH524="", "", SUM($AH$4:AH524))</f>
        <v/>
      </c>
      <c r="AJ524" s="9"/>
    </row>
    <row r="525" spans="1:36">
      <c r="A525" s="7"/>
      <c r="W525" s="1" t="str">
        <f>IF(Table1[[#This Row],[WHRS NET KW TOTAL]]="","", Table1[[#This Row],[WHRS NET KW TOTAL]]-U524)</f>
        <v/>
      </c>
      <c r="X525" s="6">
        <f>Table1[[#This Row],[WHRS  KW TOTAL]]-V524</f>
        <v>0</v>
      </c>
      <c r="Y525" s="6" t="b">
        <f>IF(AND(Table1[[#This Row],[WHRS KW RECOVERED PER DAY]]&lt;&gt;0,Table1[[#This Row],[WHRS RH]]&lt;&gt;0),ROUND(Table1[[#This Row],[WHRS KW RECOVERED PER DAY]]/Table1[[#This Row],[WHRS RH]],1))</f>
        <v>0</v>
      </c>
      <c r="Z525" s="8"/>
      <c r="AA525" s="1"/>
      <c r="AB525" s="1"/>
      <c r="AC525" s="1"/>
      <c r="AD525" s="1"/>
      <c r="AE525" s="1"/>
      <c r="AF525" s="1"/>
      <c r="AG525" s="1" t="str">
        <f t="shared" si="26"/>
        <v/>
      </c>
      <c r="AH525" s="1" t="str">
        <f t="shared" si="27"/>
        <v/>
      </c>
      <c r="AI525" s="1" t="str">
        <f>IF(AH525="", "", SUM($AH$4:AH525))</f>
        <v/>
      </c>
      <c r="AJ525" s="9"/>
    </row>
    <row r="526" spans="1:36">
      <c r="A526" s="7"/>
      <c r="W526" s="1" t="str">
        <f>IF(Table1[[#This Row],[WHRS NET KW TOTAL]]="","", Table1[[#This Row],[WHRS NET KW TOTAL]]-U525)</f>
        <v/>
      </c>
      <c r="X526" s="6">
        <f>Table1[[#This Row],[WHRS  KW TOTAL]]-V525</f>
        <v>0</v>
      </c>
      <c r="Y526" s="6" t="b">
        <f>IF(AND(Table1[[#This Row],[WHRS KW RECOVERED PER DAY]]&lt;&gt;0,Table1[[#This Row],[WHRS RH]]&lt;&gt;0),ROUND(Table1[[#This Row],[WHRS KW RECOVERED PER DAY]]/Table1[[#This Row],[WHRS RH]],1))</f>
        <v>0</v>
      </c>
      <c r="Z526" s="8"/>
      <c r="AA526" s="1"/>
      <c r="AB526" s="1"/>
      <c r="AC526" s="1"/>
      <c r="AD526" s="1"/>
      <c r="AE526" s="1"/>
      <c r="AF526" s="1"/>
      <c r="AG526" s="1" t="str">
        <f t="shared" si="26"/>
        <v/>
      </c>
      <c r="AH526" s="1" t="str">
        <f t="shared" si="27"/>
        <v/>
      </c>
      <c r="AI526" s="1" t="str">
        <f>IF(AH526="", "", SUM($AH$4:AH526))</f>
        <v/>
      </c>
      <c r="AJ526" s="9"/>
    </row>
    <row r="527" spans="1:36">
      <c r="A527" s="7"/>
      <c r="W527" s="1" t="str">
        <f>IF(Table1[[#This Row],[WHRS NET KW TOTAL]]="","", Table1[[#This Row],[WHRS NET KW TOTAL]]-U526)</f>
        <v/>
      </c>
      <c r="X527" s="6">
        <f>Table1[[#This Row],[WHRS  KW TOTAL]]-V526</f>
        <v>0</v>
      </c>
      <c r="Y527" s="6" t="b">
        <f>IF(AND(Table1[[#This Row],[WHRS KW RECOVERED PER DAY]]&lt;&gt;0,Table1[[#This Row],[WHRS RH]]&lt;&gt;0),ROUND(Table1[[#This Row],[WHRS KW RECOVERED PER DAY]]/Table1[[#This Row],[WHRS RH]],1))</f>
        <v>0</v>
      </c>
      <c r="Z527" s="8"/>
      <c r="AA527" s="1"/>
      <c r="AB527" s="1"/>
      <c r="AC527" s="1"/>
      <c r="AD527" s="1"/>
      <c r="AE527" s="1"/>
      <c r="AF527" s="1"/>
      <c r="AG527" s="1" t="str">
        <f t="shared" si="26"/>
        <v/>
      </c>
      <c r="AH527" s="1" t="str">
        <f t="shared" si="27"/>
        <v/>
      </c>
      <c r="AI527" s="1" t="str">
        <f>IF(AH527="", "", SUM($AH$4:AH527))</f>
        <v/>
      </c>
      <c r="AJ527" s="9"/>
    </row>
    <row r="528" spans="1:36">
      <c r="A528" s="7"/>
      <c r="W528" s="1" t="str">
        <f>IF(Table1[[#This Row],[WHRS NET KW TOTAL]]="","", Table1[[#This Row],[WHRS NET KW TOTAL]]-U527)</f>
        <v/>
      </c>
      <c r="X528" s="6">
        <f>Table1[[#This Row],[WHRS  KW TOTAL]]-V527</f>
        <v>0</v>
      </c>
      <c r="Y528" s="6" t="b">
        <f>IF(AND(Table1[[#This Row],[WHRS KW RECOVERED PER DAY]]&lt;&gt;0,Table1[[#This Row],[WHRS RH]]&lt;&gt;0),ROUND(Table1[[#This Row],[WHRS KW RECOVERED PER DAY]]/Table1[[#This Row],[WHRS RH]],1))</f>
        <v>0</v>
      </c>
      <c r="Z528" s="8"/>
      <c r="AA528" s="1"/>
      <c r="AB528" s="1"/>
      <c r="AC528" s="1"/>
      <c r="AD528" s="1"/>
      <c r="AE528" s="1"/>
      <c r="AF528" s="1"/>
      <c r="AG528" s="1" t="str">
        <f t="shared" si="26"/>
        <v/>
      </c>
      <c r="AH528" s="1" t="str">
        <f t="shared" si="27"/>
        <v/>
      </c>
      <c r="AI528" s="1" t="str">
        <f>IF(AH528="", "", SUM($AH$4:AH528))</f>
        <v/>
      </c>
      <c r="AJ528" s="9"/>
    </row>
    <row r="529" spans="1:36">
      <c r="A529" s="7"/>
      <c r="W529" s="1" t="str">
        <f>IF(Table1[[#This Row],[WHRS NET KW TOTAL]]="","", Table1[[#This Row],[WHRS NET KW TOTAL]]-U528)</f>
        <v/>
      </c>
      <c r="X529" s="6">
        <f>Table1[[#This Row],[WHRS  KW TOTAL]]-V528</f>
        <v>0</v>
      </c>
      <c r="Y529" s="6" t="b">
        <f>IF(AND(Table1[[#This Row],[WHRS KW RECOVERED PER DAY]]&lt;&gt;0,Table1[[#This Row],[WHRS RH]]&lt;&gt;0),ROUND(Table1[[#This Row],[WHRS KW RECOVERED PER DAY]]/Table1[[#This Row],[WHRS RH]],1))</f>
        <v>0</v>
      </c>
      <c r="Z529" s="8"/>
      <c r="AA529" s="1"/>
      <c r="AB529" s="1"/>
      <c r="AC529" s="1"/>
      <c r="AD529" s="1"/>
      <c r="AE529" s="1"/>
      <c r="AF529" s="1"/>
      <c r="AG529" s="1" t="str">
        <f t="shared" si="26"/>
        <v/>
      </c>
      <c r="AH529" s="1" t="str">
        <f t="shared" si="27"/>
        <v/>
      </c>
      <c r="AI529" s="1" t="str">
        <f>IF(AH529="", "", SUM($AH$4:AH529))</f>
        <v/>
      </c>
      <c r="AJ529" s="9"/>
    </row>
    <row r="530" spans="1:36">
      <c r="A530" s="7"/>
      <c r="W530" s="1" t="str">
        <f>IF(Table1[[#This Row],[WHRS NET KW TOTAL]]="","", Table1[[#This Row],[WHRS NET KW TOTAL]]-U529)</f>
        <v/>
      </c>
      <c r="X530" s="6">
        <f>Table1[[#This Row],[WHRS  KW TOTAL]]-V529</f>
        <v>0</v>
      </c>
      <c r="Y530" s="6" t="b">
        <f>IF(AND(Table1[[#This Row],[WHRS KW RECOVERED PER DAY]]&lt;&gt;0,Table1[[#This Row],[WHRS RH]]&lt;&gt;0),ROUND(Table1[[#This Row],[WHRS KW RECOVERED PER DAY]]/Table1[[#This Row],[WHRS RH]],1))</f>
        <v>0</v>
      </c>
      <c r="Z530" s="8"/>
      <c r="AA530" s="1"/>
      <c r="AB530" s="1"/>
      <c r="AC530" s="1"/>
      <c r="AD530" s="1"/>
      <c r="AE530" s="1"/>
      <c r="AF530" s="1"/>
      <c r="AG530" s="1" t="str">
        <f t="shared" si="26"/>
        <v/>
      </c>
      <c r="AH530" s="1" t="str">
        <f t="shared" si="27"/>
        <v/>
      </c>
      <c r="AI530" s="1" t="str">
        <f>IF(AH530="", "", SUM($AH$4:AH530))</f>
        <v/>
      </c>
      <c r="AJ530" s="9"/>
    </row>
    <row r="531" spans="1:36">
      <c r="A531" s="7"/>
      <c r="W531" s="1" t="str">
        <f>IF(Table1[[#This Row],[WHRS NET KW TOTAL]]="","", Table1[[#This Row],[WHRS NET KW TOTAL]]-U530)</f>
        <v/>
      </c>
      <c r="X531" s="6">
        <f>Table1[[#This Row],[WHRS  KW TOTAL]]-V530</f>
        <v>0</v>
      </c>
      <c r="Y531" s="6" t="b">
        <f>IF(AND(Table1[[#This Row],[WHRS KW RECOVERED PER DAY]]&lt;&gt;0,Table1[[#This Row],[WHRS RH]]&lt;&gt;0),ROUND(Table1[[#This Row],[WHRS KW RECOVERED PER DAY]]/Table1[[#This Row],[WHRS RH]],1))</f>
        <v>0</v>
      </c>
      <c r="Z531" s="8"/>
      <c r="AA531" s="1"/>
      <c r="AB531" s="1"/>
      <c r="AC531" s="1"/>
      <c r="AD531" s="1"/>
      <c r="AE531" s="1"/>
      <c r="AF531" s="1"/>
      <c r="AG531" s="1" t="str">
        <f t="shared" si="26"/>
        <v/>
      </c>
      <c r="AH531" s="1" t="str">
        <f t="shared" si="27"/>
        <v/>
      </c>
      <c r="AI531" s="1" t="str">
        <f>IF(AH531="", "", SUM($AH$4:AH531))</f>
        <v/>
      </c>
      <c r="AJ531" s="9"/>
    </row>
    <row r="532" spans="1:36">
      <c r="A532" s="7"/>
      <c r="W532" s="1" t="str">
        <f>IF(Table1[[#This Row],[WHRS NET KW TOTAL]]="","", Table1[[#This Row],[WHRS NET KW TOTAL]]-U531)</f>
        <v/>
      </c>
      <c r="X532" s="6">
        <f>Table1[[#This Row],[WHRS  KW TOTAL]]-V531</f>
        <v>0</v>
      </c>
      <c r="Y532" s="6" t="b">
        <f>IF(AND(Table1[[#This Row],[WHRS KW RECOVERED PER DAY]]&lt;&gt;0,Table1[[#This Row],[WHRS RH]]&lt;&gt;0),ROUND(Table1[[#This Row],[WHRS KW RECOVERED PER DAY]]/Table1[[#This Row],[WHRS RH]],1))</f>
        <v>0</v>
      </c>
      <c r="Z532" s="8"/>
      <c r="AA532" s="1"/>
      <c r="AB532" s="1"/>
      <c r="AC532" s="1"/>
      <c r="AD532" s="1"/>
      <c r="AE532" s="1"/>
      <c r="AF532" s="1"/>
      <c r="AG532" s="1" t="str">
        <f t="shared" si="26"/>
        <v/>
      </c>
      <c r="AH532" s="1" t="str">
        <f t="shared" si="27"/>
        <v/>
      </c>
      <c r="AI532" s="1" t="str">
        <f>IF(AH532="", "", SUM($AH$4:AH532))</f>
        <v/>
      </c>
      <c r="AJ532" s="9"/>
    </row>
    <row r="533" spans="1:36">
      <c r="A533" s="7"/>
      <c r="W533" s="1" t="str">
        <f>IF(Table1[[#This Row],[WHRS NET KW TOTAL]]="","", Table1[[#This Row],[WHRS NET KW TOTAL]]-U532)</f>
        <v/>
      </c>
      <c r="X533" s="6">
        <f>Table1[[#This Row],[WHRS  KW TOTAL]]-V532</f>
        <v>0</v>
      </c>
      <c r="Y533" s="6" t="b">
        <f>IF(AND(Table1[[#This Row],[WHRS KW RECOVERED PER DAY]]&lt;&gt;0,Table1[[#This Row],[WHRS RH]]&lt;&gt;0),ROUND(Table1[[#This Row],[WHRS KW RECOVERED PER DAY]]/Table1[[#This Row],[WHRS RH]],1))</f>
        <v>0</v>
      </c>
      <c r="Z533" s="8"/>
      <c r="AA533" s="1"/>
      <c r="AB533" s="1"/>
      <c r="AC533" s="1"/>
      <c r="AD533" s="1"/>
      <c r="AE533" s="1"/>
      <c r="AF533" s="1"/>
      <c r="AG533" s="1" t="str">
        <f t="shared" si="26"/>
        <v/>
      </c>
      <c r="AH533" s="1" t="str">
        <f t="shared" si="27"/>
        <v/>
      </c>
      <c r="AI533" s="1" t="str">
        <f>IF(AH533="", "", SUM($AH$4:AH533))</f>
        <v/>
      </c>
      <c r="AJ533" s="9"/>
    </row>
    <row r="534" spans="1:36">
      <c r="A534" s="7"/>
      <c r="W534" s="1" t="str">
        <f>IF(Table1[[#This Row],[WHRS NET KW TOTAL]]="","", Table1[[#This Row],[WHRS NET KW TOTAL]]-U533)</f>
        <v/>
      </c>
      <c r="X534" s="6">
        <f>Table1[[#This Row],[WHRS  KW TOTAL]]-V533</f>
        <v>0</v>
      </c>
      <c r="Y534" s="6" t="b">
        <f>IF(AND(Table1[[#This Row],[WHRS KW RECOVERED PER DAY]]&lt;&gt;0,Table1[[#This Row],[WHRS RH]]&lt;&gt;0),ROUND(Table1[[#This Row],[WHRS KW RECOVERED PER DAY]]/Table1[[#This Row],[WHRS RH]],1))</f>
        <v>0</v>
      </c>
      <c r="Z534" s="8"/>
      <c r="AA534" s="1"/>
      <c r="AB534" s="1"/>
      <c r="AC534" s="1"/>
      <c r="AD534" s="1"/>
      <c r="AE534" s="1"/>
      <c r="AF534" s="1"/>
      <c r="AG534" s="1" t="str">
        <f t="shared" si="26"/>
        <v/>
      </c>
      <c r="AH534" s="1" t="str">
        <f t="shared" si="27"/>
        <v/>
      </c>
      <c r="AI534" s="1" t="str">
        <f>IF(AH534="", "", SUM($AH$4:AH534))</f>
        <v/>
      </c>
      <c r="AJ534" s="9"/>
    </row>
    <row r="535" spans="1:36">
      <c r="A535" s="7"/>
      <c r="W535" s="1" t="str">
        <f>IF(Table1[[#This Row],[WHRS NET KW TOTAL]]="","", Table1[[#This Row],[WHRS NET KW TOTAL]]-U534)</f>
        <v/>
      </c>
      <c r="X535" s="6">
        <f>Table1[[#This Row],[WHRS  KW TOTAL]]-V534</f>
        <v>0</v>
      </c>
      <c r="Y535" s="6" t="b">
        <f>IF(AND(Table1[[#This Row],[WHRS KW RECOVERED PER DAY]]&lt;&gt;0,Table1[[#This Row],[WHRS RH]]&lt;&gt;0),ROUND(Table1[[#This Row],[WHRS KW RECOVERED PER DAY]]/Table1[[#This Row],[WHRS RH]],1))</f>
        <v>0</v>
      </c>
      <c r="Z535" s="8"/>
      <c r="AA535" s="1"/>
      <c r="AB535" s="1"/>
      <c r="AC535" s="1"/>
      <c r="AD535" s="1"/>
      <c r="AE535" s="1"/>
      <c r="AF535" s="1"/>
      <c r="AG535" s="1" t="str">
        <f t="shared" si="26"/>
        <v/>
      </c>
      <c r="AH535" s="1" t="str">
        <f t="shared" si="27"/>
        <v/>
      </c>
      <c r="AI535" s="1" t="str">
        <f>IF(AH535="", "", SUM($AH$4:AH535))</f>
        <v/>
      </c>
      <c r="AJ535" s="9"/>
    </row>
    <row r="536" spans="1:36">
      <c r="A536" s="7"/>
      <c r="W536" s="1" t="str">
        <f>IF(Table1[[#This Row],[WHRS NET KW TOTAL]]="","", Table1[[#This Row],[WHRS NET KW TOTAL]]-U535)</f>
        <v/>
      </c>
      <c r="X536" s="6">
        <f>Table1[[#This Row],[WHRS  KW TOTAL]]-V535</f>
        <v>0</v>
      </c>
      <c r="Y536" s="6" t="b">
        <f>IF(AND(Table1[[#This Row],[WHRS KW RECOVERED PER DAY]]&lt;&gt;0,Table1[[#This Row],[WHRS RH]]&lt;&gt;0),ROUND(Table1[[#This Row],[WHRS KW RECOVERED PER DAY]]/Table1[[#This Row],[WHRS RH]],1))</f>
        <v>0</v>
      </c>
      <c r="Z536" s="8"/>
      <c r="AA536" s="1"/>
      <c r="AB536" s="1"/>
      <c r="AC536" s="1"/>
      <c r="AD536" s="1"/>
      <c r="AE536" s="1"/>
      <c r="AF536" s="1"/>
      <c r="AG536" s="1" t="str">
        <f t="shared" si="26"/>
        <v/>
      </c>
      <c r="AH536" s="1" t="str">
        <f t="shared" si="27"/>
        <v/>
      </c>
      <c r="AI536" s="1" t="str">
        <f>IF(AH536="", "", SUM($AH$4:AH536))</f>
        <v/>
      </c>
      <c r="AJ536" s="9"/>
    </row>
    <row r="537" spans="1:36">
      <c r="A537" s="7"/>
      <c r="X537" s="6">
        <f>Table1[[#This Row],[WHRS  KW TOTAL]]-V536</f>
        <v>0</v>
      </c>
      <c r="Y537" s="6" t="b">
        <f>IF(AND(Table1[[#This Row],[WHRS KW RECOVERED PER DAY]]&lt;&gt;0,Table1[[#This Row],[WHRS RH]]&lt;&gt;0),ROUND(Table1[[#This Row],[WHRS KW RECOVERED PER DAY]]/Table1[[#This Row],[WHRS RH]],1))</f>
        <v>0</v>
      </c>
      <c r="Z537" s="8"/>
      <c r="AA537" s="1"/>
      <c r="AB537" s="1"/>
      <c r="AC537" s="1"/>
      <c r="AD537" s="1"/>
      <c r="AE537" s="1"/>
      <c r="AF537" s="1"/>
      <c r="AG537" s="1" t="str">
        <f t="shared" si="26"/>
        <v/>
      </c>
      <c r="AH537" s="1" t="str">
        <f t="shared" si="27"/>
        <v/>
      </c>
      <c r="AI537" s="1" t="str">
        <f>IF(AH537="", "", SUM($AH$4:AH537))</f>
        <v/>
      </c>
      <c r="AJ537" s="9"/>
    </row>
    <row r="538" spans="1:36">
      <c r="A538" s="7"/>
      <c r="X538" s="6">
        <f>Table1[[#This Row],[WHRS  KW TOTAL]]-V537</f>
        <v>0</v>
      </c>
      <c r="Y538" s="6" t="b">
        <f>IF(AND(Table1[[#This Row],[WHRS KW RECOVERED PER DAY]]&lt;&gt;0,Table1[[#This Row],[WHRS RH]]&lt;&gt;0),ROUND(Table1[[#This Row],[WHRS KW RECOVERED PER DAY]]/Table1[[#This Row],[WHRS RH]],1))</f>
        <v>0</v>
      </c>
      <c r="Z538" s="8"/>
      <c r="AA538" s="1"/>
      <c r="AB538" s="1"/>
      <c r="AC538" s="1"/>
      <c r="AD538" s="1"/>
      <c r="AE538" s="1"/>
      <c r="AF538" s="1"/>
      <c r="AG538" s="1" t="str">
        <f t="shared" si="26"/>
        <v/>
      </c>
      <c r="AH538" s="1" t="str">
        <f t="shared" si="27"/>
        <v/>
      </c>
      <c r="AI538" s="1" t="str">
        <f>IF(AH538="", "", SUM($AH$4:AH538))</f>
        <v/>
      </c>
      <c r="AJ538" s="9"/>
    </row>
    <row r="539" spans="1:36">
      <c r="A539" s="7"/>
      <c r="X539" s="6">
        <f>Table1[[#This Row],[WHRS  KW TOTAL]]-V538</f>
        <v>0</v>
      </c>
      <c r="Y539" s="6" t="b">
        <f>IF(AND(Table1[[#This Row],[WHRS KW RECOVERED PER DAY]]&lt;&gt;0,Table1[[#This Row],[WHRS RH]]&lt;&gt;0),ROUND(Table1[[#This Row],[WHRS KW RECOVERED PER DAY]]/Table1[[#This Row],[WHRS RH]],1))</f>
        <v>0</v>
      </c>
      <c r="Z539" s="8"/>
      <c r="AA539" s="1"/>
      <c r="AB539" s="1"/>
      <c r="AC539" s="1"/>
      <c r="AD539" s="1"/>
      <c r="AE539" s="1"/>
      <c r="AF539" s="1"/>
      <c r="AG539" s="1" t="str">
        <f t="shared" si="26"/>
        <v/>
      </c>
      <c r="AH539" s="1" t="str">
        <f t="shared" si="27"/>
        <v/>
      </c>
      <c r="AI539" s="1" t="str">
        <f>IF(AH539="", "", SUM($AH$4:AH539))</f>
        <v/>
      </c>
      <c r="AJ539" s="9"/>
    </row>
    <row r="540" spans="1:36">
      <c r="A540" s="7"/>
      <c r="X540" s="6">
        <f>Table1[[#This Row],[WHRS  KW TOTAL]]-V539</f>
        <v>0</v>
      </c>
      <c r="Y540" s="6" t="b">
        <f>IF(AND(Table1[[#This Row],[WHRS KW RECOVERED PER DAY]]&lt;&gt;0,Table1[[#This Row],[WHRS RH]]&lt;&gt;0),ROUND(Table1[[#This Row],[WHRS KW RECOVERED PER DAY]]/Table1[[#This Row],[WHRS RH]],1))</f>
        <v>0</v>
      </c>
      <c r="Z540" s="8"/>
      <c r="AA540" s="1"/>
      <c r="AB540" s="1"/>
      <c r="AC540" s="1"/>
      <c r="AD540" s="1"/>
      <c r="AE540" s="1"/>
      <c r="AF540" s="1"/>
      <c r="AG540" s="1" t="str">
        <f t="shared" si="26"/>
        <v/>
      </c>
      <c r="AH540" s="1" t="str">
        <f t="shared" si="27"/>
        <v/>
      </c>
      <c r="AI540" s="1" t="str">
        <f>IF(AH540="", "", SUM($AH$4:AH540))</f>
        <v/>
      </c>
      <c r="AJ540" s="9"/>
    </row>
    <row r="541" spans="1:36">
      <c r="A541" s="7"/>
      <c r="X541" s="6">
        <f>Table1[[#This Row],[WHRS  KW TOTAL]]-V540</f>
        <v>0</v>
      </c>
      <c r="Y541" s="6" t="b">
        <f>IF(AND(Table1[[#This Row],[WHRS KW RECOVERED PER DAY]]&lt;&gt;0,Table1[[#This Row],[WHRS RH]]&lt;&gt;0),ROUND(Table1[[#This Row],[WHRS KW RECOVERED PER DAY]]/Table1[[#This Row],[WHRS RH]],1))</f>
        <v>0</v>
      </c>
      <c r="Z541" s="8"/>
      <c r="AA541" s="1"/>
      <c r="AB541" s="1"/>
      <c r="AC541" s="1"/>
      <c r="AD541" s="1"/>
      <c r="AE541" s="1"/>
      <c r="AF541" s="1"/>
      <c r="AG541" s="1" t="str">
        <f t="shared" si="26"/>
        <v/>
      </c>
      <c r="AH541" s="1" t="str">
        <f t="shared" si="27"/>
        <v/>
      </c>
      <c r="AI541" s="1" t="str">
        <f>IF(AH541="", "", SUM($AH$4:AH541))</f>
        <v/>
      </c>
      <c r="AJ541" s="9"/>
    </row>
    <row r="542" spans="1:36">
      <c r="A542" s="7"/>
      <c r="X542" s="6">
        <f>Table1[[#This Row],[WHRS  KW TOTAL]]-V541</f>
        <v>0</v>
      </c>
      <c r="Y542" s="6" t="b">
        <f>IF(AND(Table1[[#This Row],[WHRS KW RECOVERED PER DAY]]&lt;&gt;0,Table1[[#This Row],[WHRS RH]]&lt;&gt;0),ROUND(Table1[[#This Row],[WHRS KW RECOVERED PER DAY]]/Table1[[#This Row],[WHRS RH]],1))</f>
        <v>0</v>
      </c>
      <c r="Z542" s="8"/>
      <c r="AA542" s="1"/>
      <c r="AB542" s="1"/>
      <c r="AC542" s="1"/>
      <c r="AD542" s="1"/>
      <c r="AE542" s="1"/>
      <c r="AF542" s="1"/>
      <c r="AG542" s="1" t="str">
        <f t="shared" si="26"/>
        <v/>
      </c>
      <c r="AH542" s="1" t="str">
        <f t="shared" si="27"/>
        <v/>
      </c>
      <c r="AI542" s="1" t="str">
        <f>IF(AH542="", "", SUM($AH$4:AH542))</f>
        <v/>
      </c>
      <c r="AJ542" s="9"/>
    </row>
    <row r="543" spans="1:36">
      <c r="A543" s="7"/>
      <c r="X543" s="6">
        <f>Table1[[#This Row],[WHRS  KW TOTAL]]-V542</f>
        <v>0</v>
      </c>
      <c r="Y543" s="6" t="b">
        <f>IF(AND(Table1[[#This Row],[WHRS KW RECOVERED PER DAY]]&lt;&gt;0,Table1[[#This Row],[WHRS RH]]&lt;&gt;0),ROUND(Table1[[#This Row],[WHRS KW RECOVERED PER DAY]]/Table1[[#This Row],[WHRS RH]],1))</f>
        <v>0</v>
      </c>
      <c r="Z543" s="8"/>
      <c r="AA543" s="1"/>
      <c r="AB543" s="1"/>
      <c r="AC543" s="1"/>
      <c r="AD543" s="1"/>
      <c r="AE543" s="1"/>
      <c r="AF543" s="1"/>
      <c r="AG543" s="1" t="str">
        <f t="shared" si="26"/>
        <v/>
      </c>
      <c r="AH543" s="1" t="str">
        <f t="shared" si="27"/>
        <v/>
      </c>
      <c r="AI543" s="1" t="str">
        <f>IF(AH543="", "", SUM($AH$4:AH543))</f>
        <v/>
      </c>
      <c r="AJ543" s="9"/>
    </row>
    <row r="544" spans="1:36">
      <c r="A544" s="7"/>
      <c r="X544" s="6">
        <f>Table1[[#This Row],[WHRS  KW TOTAL]]-V543</f>
        <v>0</v>
      </c>
      <c r="Y544" s="6" t="b">
        <f>IF(AND(Table1[[#This Row],[WHRS KW RECOVERED PER DAY]]&lt;&gt;0,Table1[[#This Row],[WHRS RH]]&lt;&gt;0),ROUND(Table1[[#This Row],[WHRS KW RECOVERED PER DAY]]/Table1[[#This Row],[WHRS RH]],1))</f>
        <v>0</v>
      </c>
      <c r="Z544" s="8"/>
      <c r="AA544" s="1"/>
      <c r="AB544" s="1"/>
      <c r="AC544" s="1"/>
      <c r="AD544" s="1"/>
      <c r="AE544" s="1"/>
      <c r="AF544" s="1"/>
      <c r="AG544" s="1" t="str">
        <f t="shared" si="26"/>
        <v/>
      </c>
      <c r="AH544" s="1" t="str">
        <f t="shared" si="27"/>
        <v/>
      </c>
      <c r="AI544" s="1" t="str">
        <f>IF(AH544="", "", SUM($AH$4:AH544))</f>
        <v/>
      </c>
      <c r="AJ544" s="9"/>
    </row>
    <row r="545" spans="1:36">
      <c r="A545" s="7"/>
      <c r="X545" s="6">
        <f>Table1[[#This Row],[WHRS  KW TOTAL]]-V544</f>
        <v>0</v>
      </c>
      <c r="Y545" s="6" t="b">
        <f>IF(AND(Table1[[#This Row],[WHRS KW RECOVERED PER DAY]]&lt;&gt;0,Table1[[#This Row],[WHRS RH]]&lt;&gt;0),ROUND(Table1[[#This Row],[WHRS KW RECOVERED PER DAY]]/Table1[[#This Row],[WHRS RH]],1))</f>
        <v>0</v>
      </c>
      <c r="Z545" s="8"/>
      <c r="AA545" s="1"/>
      <c r="AB545" s="1"/>
      <c r="AC545" s="1"/>
      <c r="AD545" s="1"/>
      <c r="AE545" s="1"/>
      <c r="AF545" s="1"/>
      <c r="AG545" s="1" t="str">
        <f t="shared" si="26"/>
        <v/>
      </c>
      <c r="AH545" s="1" t="str">
        <f t="shared" si="27"/>
        <v/>
      </c>
      <c r="AI545" s="1" t="str">
        <f>IF(AH545="", "", SUM($AH$4:AH545))</f>
        <v/>
      </c>
      <c r="AJ545" s="9"/>
    </row>
    <row r="546" spans="1:36">
      <c r="A546" s="7"/>
      <c r="X546" s="6">
        <f>Table1[[#This Row],[WHRS  KW TOTAL]]-V545</f>
        <v>0</v>
      </c>
      <c r="Y546" s="6" t="b">
        <f>IF(AND(Table1[[#This Row],[WHRS KW RECOVERED PER DAY]]&lt;&gt;0,Table1[[#This Row],[WHRS RH]]&lt;&gt;0),ROUND(Table1[[#This Row],[WHRS KW RECOVERED PER DAY]]/Table1[[#This Row],[WHRS RH]],1))</f>
        <v>0</v>
      </c>
      <c r="Z546" s="8"/>
      <c r="AA546" s="1"/>
      <c r="AB546" s="1"/>
      <c r="AC546" s="1"/>
      <c r="AD546" s="1"/>
      <c r="AE546" s="1"/>
      <c r="AF546" s="1"/>
      <c r="AG546" s="1" t="str">
        <f t="shared" si="26"/>
        <v/>
      </c>
      <c r="AH546" s="1" t="str">
        <f t="shared" si="27"/>
        <v/>
      </c>
      <c r="AI546" s="1" t="str">
        <f>IF(AH546="", "", SUM($AH$4:AH546))</f>
        <v/>
      </c>
      <c r="AJ546" s="9"/>
    </row>
    <row r="547" spans="1:36">
      <c r="A547" s="7"/>
      <c r="X547" s="6" t="str">
        <f>IF(Table1[[#This Row],[WHRS NET KW TOTAL]]&lt;&gt;0,Table1[[#This Row],[WHRS NET KW TOTAL]]-U546,"")</f>
        <v/>
      </c>
      <c r="Y547" s="6" t="b">
        <f>IF(AND(Table1[[#This Row],[WHRS KW RECOVERED PER DAY]]&lt;&gt;0,Table1[[#This Row],[WHRS RH]]&lt;&gt;0),ROUND(Table1[[#This Row],[WHRS KW RECOVERED PER DAY]]/Table1[[#This Row],[WHRS RH]],1))</f>
        <v>0</v>
      </c>
      <c r="Z547" s="8"/>
      <c r="AA547" s="1"/>
      <c r="AB547" s="1"/>
      <c r="AC547" s="1"/>
      <c r="AD547" s="1"/>
      <c r="AE547" s="1"/>
      <c r="AF547" s="1"/>
      <c r="AG547" s="1" t="str">
        <f t="shared" si="26"/>
        <v/>
      </c>
      <c r="AH547" s="1" t="str">
        <f t="shared" si="27"/>
        <v/>
      </c>
      <c r="AI547" s="1" t="str">
        <f>IF(AH547="", "", SUM($AH$4:AH547))</f>
        <v/>
      </c>
      <c r="AJ547" s="9"/>
    </row>
    <row r="548" spans="1:36">
      <c r="A548" s="7"/>
      <c r="X548" s="6" t="str">
        <f>IF(Table1[[#This Row],[WHRS NET KW TOTAL]]&lt;&gt;0,Table1[[#This Row],[WHRS NET KW TOTAL]]-U547,"")</f>
        <v/>
      </c>
      <c r="Y548" s="6" t="b">
        <f>IF(AND(Table1[[#This Row],[WHRS KW RECOVERED PER DAY]]&lt;&gt;0,Table1[[#This Row],[WHRS RH]]&lt;&gt;0),ROUND(Table1[[#This Row],[WHRS KW RECOVERED PER DAY]]/Table1[[#This Row],[WHRS RH]],1))</f>
        <v>0</v>
      </c>
      <c r="Z548" s="8"/>
      <c r="AA548" s="1"/>
      <c r="AB548" s="1"/>
      <c r="AC548" s="1"/>
      <c r="AD548" s="1"/>
      <c r="AE548" s="1"/>
      <c r="AF548" s="1"/>
      <c r="AG548" s="1" t="str">
        <f t="shared" si="26"/>
        <v/>
      </c>
      <c r="AH548" s="1" t="str">
        <f t="shared" si="27"/>
        <v/>
      </c>
      <c r="AI548" s="1" t="str">
        <f>IF(AH548="", "", SUM($AH$4:AH548))</f>
        <v/>
      </c>
      <c r="AJ548" s="9"/>
    </row>
    <row r="549" spans="1:36">
      <c r="A549" s="7"/>
      <c r="X549" s="6" t="str">
        <f>IF(Table1[[#This Row],[WHRS NET KW TOTAL]]&lt;&gt;0,Table1[[#This Row],[WHRS NET KW TOTAL]]-U548,"")</f>
        <v/>
      </c>
      <c r="Y549" s="6" t="b">
        <f>IF(AND(Table1[[#This Row],[WHRS KW RECOVERED PER DAY]]&lt;&gt;0,Table1[[#This Row],[WHRS RH]]&lt;&gt;0),ROUND(Table1[[#This Row],[WHRS KW RECOVERED PER DAY]]/Table1[[#This Row],[WHRS RH]],1))</f>
        <v>0</v>
      </c>
      <c r="Z549" s="8"/>
      <c r="AA549" s="1"/>
      <c r="AB549" s="1"/>
      <c r="AC549" s="1"/>
      <c r="AD549" s="1"/>
      <c r="AE549" s="1"/>
      <c r="AF549" s="1"/>
      <c r="AG549" s="1" t="str">
        <f t="shared" si="26"/>
        <v/>
      </c>
      <c r="AH549" s="1" t="str">
        <f t="shared" si="27"/>
        <v/>
      </c>
      <c r="AI549" s="1" t="str">
        <f>IF(AH549="", "", SUM($AH$4:AH549))</f>
        <v/>
      </c>
      <c r="AJ549" s="9"/>
    </row>
    <row r="550" spans="1:36">
      <c r="A550" s="7"/>
      <c r="X550" s="6" t="str">
        <f>IF(Table1[[#This Row],[WHRS NET KW TOTAL]]&lt;&gt;0,Table1[[#This Row],[WHRS NET KW TOTAL]]-U549,"")</f>
        <v/>
      </c>
      <c r="Y550" s="6" t="b">
        <f>IF(AND(Table1[[#This Row],[WHRS KW RECOVERED PER DAY]]&lt;&gt;0,Table1[[#This Row],[WHRS RH]]&lt;&gt;0),ROUND(Table1[[#This Row],[WHRS KW RECOVERED PER DAY]]/Table1[[#This Row],[WHRS RH]],1))</f>
        <v>0</v>
      </c>
      <c r="Z550" s="8"/>
      <c r="AA550" s="1"/>
      <c r="AB550" s="1"/>
      <c r="AC550" s="1"/>
      <c r="AD550" s="1"/>
      <c r="AE550" s="1"/>
      <c r="AF550" s="1"/>
      <c r="AG550" s="1" t="str">
        <f t="shared" si="26"/>
        <v/>
      </c>
      <c r="AH550" s="1" t="str">
        <f t="shared" si="27"/>
        <v/>
      </c>
      <c r="AI550" s="1" t="str">
        <f>IF(AH550="", "", SUM($AH$4:AH550))</f>
        <v/>
      </c>
      <c r="AJ550" s="9"/>
    </row>
    <row r="551" spans="1:36">
      <c r="A551" s="7"/>
      <c r="X551" s="6" t="str">
        <f>IF(Table1[[#This Row],[WHRS NET KW TOTAL]]&lt;&gt;0,Table1[[#This Row],[WHRS NET KW TOTAL]]-U550,"")</f>
        <v/>
      </c>
      <c r="Y551" s="6" t="b">
        <f>IF(AND(Table1[[#This Row],[WHRS KW RECOVERED PER DAY]]&lt;&gt;0,Table1[[#This Row],[WHRS RH]]&lt;&gt;0),ROUND(Table1[[#This Row],[WHRS KW RECOVERED PER DAY]]/Table1[[#This Row],[WHRS RH]],1))</f>
        <v>0</v>
      </c>
      <c r="Z551" s="8"/>
      <c r="AA551" s="1"/>
      <c r="AB551" s="1"/>
      <c r="AC551" s="1"/>
      <c r="AD551" s="1"/>
      <c r="AE551" s="1"/>
      <c r="AF551" s="1"/>
      <c r="AG551" s="1" t="str">
        <f t="shared" si="26"/>
        <v/>
      </c>
      <c r="AH551" s="1" t="str">
        <f t="shared" si="27"/>
        <v/>
      </c>
      <c r="AI551" s="1" t="str">
        <f>IF(AH551="", "", SUM($AH$4:AH551))</f>
        <v/>
      </c>
      <c r="AJ551" s="9"/>
    </row>
    <row r="552" spans="1:36">
      <c r="A552" s="7"/>
      <c r="X552" s="6" t="str">
        <f>IF(Table1[[#This Row],[WHRS NET KW TOTAL]]&lt;&gt;0,Table1[[#This Row],[WHRS NET KW TOTAL]]-U551,"")</f>
        <v/>
      </c>
      <c r="Y552" s="6" t="b">
        <f>IF(AND(Table1[[#This Row],[WHRS KW RECOVERED PER DAY]]&lt;&gt;0,Table1[[#This Row],[WHRS RH]]&lt;&gt;0),ROUND(Table1[[#This Row],[WHRS KW RECOVERED PER DAY]]/Table1[[#This Row],[WHRS RH]],1))</f>
        <v>0</v>
      </c>
      <c r="Z552" s="8"/>
      <c r="AA552" s="1"/>
      <c r="AB552" s="1"/>
      <c r="AC552" s="1"/>
      <c r="AD552" s="1"/>
      <c r="AE552" s="1"/>
      <c r="AF552" s="1"/>
      <c r="AG552" s="1" t="str">
        <f t="shared" si="26"/>
        <v/>
      </c>
      <c r="AH552" s="1" t="str">
        <f t="shared" si="27"/>
        <v/>
      </c>
      <c r="AI552" s="1" t="str">
        <f>IF(AH552="", "", SUM($AH$4:AH552))</f>
        <v/>
      </c>
      <c r="AJ552" s="9"/>
    </row>
    <row r="553" spans="1:36">
      <c r="A553" s="7"/>
      <c r="X553" s="6" t="str">
        <f>IF(Table1[[#This Row],[WHRS NET KW TOTAL]]&lt;&gt;0,Table1[[#This Row],[WHRS NET KW TOTAL]]-U552,"")</f>
        <v/>
      </c>
      <c r="Y553" s="6" t="b">
        <f>IF(AND(Table1[[#This Row],[WHRS KW RECOVERED PER DAY]]&lt;&gt;0,Table1[[#This Row],[WHRS RH]]&lt;&gt;0),ROUND(Table1[[#This Row],[WHRS KW RECOVERED PER DAY]]/Table1[[#This Row],[WHRS RH]],1))</f>
        <v>0</v>
      </c>
      <c r="Z553" s="8"/>
      <c r="AA553" s="1"/>
      <c r="AB553" s="1"/>
      <c r="AC553" s="1"/>
      <c r="AD553" s="1"/>
      <c r="AE553" s="1"/>
      <c r="AF553" s="1"/>
      <c r="AG553" s="1" t="str">
        <f t="shared" si="26"/>
        <v/>
      </c>
      <c r="AH553" s="1" t="str">
        <f t="shared" si="27"/>
        <v/>
      </c>
      <c r="AI553" s="1" t="str">
        <f>IF(AH553="", "", SUM($AH$4:AH553))</f>
        <v/>
      </c>
      <c r="AJ553" s="9"/>
    </row>
    <row r="554" spans="1:36">
      <c r="A554" s="7"/>
      <c r="X554" s="6" t="str">
        <f>IF(Table1[[#This Row],[WHRS NET KW TOTAL]]&lt;&gt;0,Table1[[#This Row],[WHRS NET KW TOTAL]]-U553,"")</f>
        <v/>
      </c>
      <c r="Y554" s="6" t="b">
        <f>IF(AND(Table1[[#This Row],[WHRS KW RECOVERED PER DAY]]&lt;&gt;0,Table1[[#This Row],[WHRS RH]]&lt;&gt;0),ROUND(Table1[[#This Row],[WHRS KW RECOVERED PER DAY]]/Table1[[#This Row],[WHRS RH]],1))</f>
        <v>0</v>
      </c>
      <c r="Z554" s="8"/>
      <c r="AA554" s="1"/>
      <c r="AB554" s="1"/>
      <c r="AC554" s="1"/>
      <c r="AD554" s="1"/>
      <c r="AE554" s="1"/>
      <c r="AF554" s="1"/>
      <c r="AG554" s="1" t="str">
        <f t="shared" si="26"/>
        <v/>
      </c>
      <c r="AH554" s="1" t="str">
        <f t="shared" si="27"/>
        <v/>
      </c>
      <c r="AI554" s="1" t="str">
        <f>IF(AH554="", "", SUM($AH$4:AH554))</f>
        <v/>
      </c>
      <c r="AJ554" s="9"/>
    </row>
    <row r="555" spans="1:36">
      <c r="A555" s="7"/>
      <c r="X555" s="6" t="str">
        <f>IF(Table1[[#This Row],[WHRS NET KW TOTAL]]&lt;&gt;0,Table1[[#This Row],[WHRS NET KW TOTAL]]-U554,"")</f>
        <v/>
      </c>
      <c r="Y555" s="6" t="b">
        <f>IF(AND(Table1[[#This Row],[WHRS KW RECOVERED PER DAY]]&lt;&gt;0,Table1[[#This Row],[WHRS RH]]&lt;&gt;0),ROUND(Table1[[#This Row],[WHRS KW RECOVERED PER DAY]]/Table1[[#This Row],[WHRS RH]],1))</f>
        <v>0</v>
      </c>
      <c r="Z555" s="8"/>
      <c r="AA555" s="1"/>
      <c r="AB555" s="1"/>
      <c r="AC555" s="1"/>
      <c r="AD555" s="1"/>
      <c r="AE555" s="1"/>
      <c r="AF555" s="1"/>
      <c r="AG555" s="1" t="str">
        <f t="shared" si="26"/>
        <v/>
      </c>
      <c r="AH555" s="1" t="str">
        <f t="shared" si="27"/>
        <v/>
      </c>
      <c r="AI555" s="1" t="str">
        <f>IF(AH555="", "", SUM($AH$4:AH555))</f>
        <v/>
      </c>
      <c r="AJ555" s="9"/>
    </row>
    <row r="556" spans="1:36">
      <c r="A556" s="7"/>
      <c r="X556" s="6" t="str">
        <f>IF(Table1[[#This Row],[WHRS NET KW TOTAL]]&lt;&gt;0,Table1[[#This Row],[WHRS NET KW TOTAL]]-U555,"")</f>
        <v/>
      </c>
      <c r="Y556" s="6" t="b">
        <f>IF(AND(Table1[[#This Row],[WHRS KW RECOVERED PER DAY]]&lt;&gt;0,Table1[[#This Row],[WHRS RH]]&lt;&gt;0),ROUND(Table1[[#This Row],[WHRS KW RECOVERED PER DAY]]/Table1[[#This Row],[WHRS RH]],1))</f>
        <v>0</v>
      </c>
      <c r="Z556" s="8"/>
      <c r="AA556" s="1"/>
      <c r="AB556" s="1"/>
      <c r="AC556" s="1"/>
      <c r="AD556" s="1"/>
      <c r="AE556" s="1"/>
      <c r="AF556" s="1"/>
      <c r="AG556" s="1" t="str">
        <f t="shared" si="26"/>
        <v/>
      </c>
      <c r="AH556" s="1" t="str">
        <f t="shared" si="27"/>
        <v/>
      </c>
      <c r="AI556" s="1" t="str">
        <f>IF(AH556="", "", SUM($AH$4:AH556))</f>
        <v/>
      </c>
      <c r="AJ556" s="9"/>
    </row>
    <row r="557" spans="1:36">
      <c r="A557" s="7"/>
      <c r="X557" s="6" t="str">
        <f>IF(Table1[[#This Row],[WHRS NET KW TOTAL]]&lt;&gt;0,Table1[[#This Row],[WHRS NET KW TOTAL]]-U556,"")</f>
        <v/>
      </c>
      <c r="Y557" s="6" t="b">
        <f>IF(AND(Table1[[#This Row],[WHRS KW RECOVERED PER DAY]]&lt;&gt;0,Table1[[#This Row],[WHRS RH]]&lt;&gt;0),ROUND(Table1[[#This Row],[WHRS KW RECOVERED PER DAY]]/Table1[[#This Row],[WHRS RH]],1))</f>
        <v>0</v>
      </c>
      <c r="Z557" s="8"/>
      <c r="AA557" s="1"/>
      <c r="AB557" s="1"/>
      <c r="AC557" s="1"/>
      <c r="AD557" s="1"/>
      <c r="AE557" s="1"/>
      <c r="AF557" s="1"/>
      <c r="AG557" s="1" t="str">
        <f t="shared" si="26"/>
        <v/>
      </c>
      <c r="AH557" s="1" t="str">
        <f t="shared" si="27"/>
        <v/>
      </c>
      <c r="AI557" s="1" t="str">
        <f>IF(AH557="", "", SUM($AH$4:AH557))</f>
        <v/>
      </c>
      <c r="AJ557" s="9"/>
    </row>
    <row r="558" spans="1:36">
      <c r="A558" s="7"/>
      <c r="X558" s="6" t="str">
        <f>IF(Table1[[#This Row],[WHRS NET KW TOTAL]]&lt;&gt;0,Table1[[#This Row],[WHRS NET KW TOTAL]]-U557,"")</f>
        <v/>
      </c>
      <c r="Y558" s="6" t="b">
        <f>IF(AND(Table1[[#This Row],[WHRS KW RECOVERED PER DAY]]&lt;&gt;0,Table1[[#This Row],[WHRS RH]]&lt;&gt;0),ROUND(Table1[[#This Row],[WHRS KW RECOVERED PER DAY]]/Table1[[#This Row],[WHRS RH]],1))</f>
        <v>0</v>
      </c>
      <c r="Z558" s="8"/>
      <c r="AA558" s="1"/>
      <c r="AB558" s="1"/>
      <c r="AC558" s="1"/>
      <c r="AD558" s="1"/>
      <c r="AE558" s="1"/>
      <c r="AF558" s="1"/>
      <c r="AG558" s="1" t="str">
        <f t="shared" si="26"/>
        <v/>
      </c>
      <c r="AH558" s="1" t="str">
        <f t="shared" si="27"/>
        <v/>
      </c>
      <c r="AI558" s="1" t="str">
        <f>IF(AH558="", "", SUM($AH$4:AH558))</f>
        <v/>
      </c>
      <c r="AJ558" s="9"/>
    </row>
    <row r="559" spans="1:36">
      <c r="A559" s="7"/>
      <c r="X559" s="6" t="str">
        <f>IF(Table1[[#This Row],[WHRS NET KW TOTAL]]&lt;&gt;0,Table1[[#This Row],[WHRS NET KW TOTAL]]-U558,"")</f>
        <v/>
      </c>
      <c r="Y559" s="6" t="b">
        <f>IF(AND(Table1[[#This Row],[WHRS KW RECOVERED PER DAY]]&lt;&gt;0,Table1[[#This Row],[WHRS RH]]&lt;&gt;0),ROUND(Table1[[#This Row],[WHRS KW RECOVERED PER DAY]]/Table1[[#This Row],[WHRS RH]],1))</f>
        <v>0</v>
      </c>
      <c r="Z559" s="8"/>
      <c r="AA559" s="1"/>
      <c r="AB559" s="1"/>
      <c r="AC559" s="1"/>
      <c r="AD559" s="1"/>
      <c r="AE559" s="1"/>
      <c r="AF559" s="1"/>
      <c r="AG559" s="1" t="str">
        <f t="shared" si="26"/>
        <v/>
      </c>
      <c r="AH559" s="1" t="str">
        <f t="shared" si="27"/>
        <v/>
      </c>
      <c r="AI559" s="1" t="str">
        <f>IF(AH559="", "", SUM($AH$4:AH559))</f>
        <v/>
      </c>
      <c r="AJ559" s="9"/>
    </row>
    <row r="560" spans="1:36">
      <c r="A560" s="7"/>
      <c r="X560" s="6" t="str">
        <f>IF(Table1[[#This Row],[WHRS NET KW TOTAL]]&lt;&gt;0,Table1[[#This Row],[WHRS NET KW TOTAL]]-U559,"")</f>
        <v/>
      </c>
      <c r="Y560" s="6" t="b">
        <f>IF(AND(Table1[[#This Row],[WHRS KW RECOVERED PER DAY]]&lt;&gt;0,Table1[[#This Row],[WHRS RH]]&lt;&gt;0),ROUND(Table1[[#This Row],[WHRS KW RECOVERED PER DAY]]/Table1[[#This Row],[WHRS RH]],1))</f>
        <v>0</v>
      </c>
      <c r="Z560" s="8"/>
      <c r="AA560" s="1"/>
      <c r="AB560" s="1"/>
      <c r="AC560" s="1"/>
      <c r="AD560" s="1"/>
      <c r="AE560" s="1"/>
      <c r="AF560" s="1"/>
      <c r="AG560" s="1" t="str">
        <f t="shared" si="26"/>
        <v/>
      </c>
      <c r="AH560" s="1" t="str">
        <f t="shared" si="27"/>
        <v/>
      </c>
      <c r="AI560" s="1" t="str">
        <f>IF(AH560="", "", SUM($AH$4:AH560))</f>
        <v/>
      </c>
      <c r="AJ560" s="9"/>
    </row>
    <row r="561" spans="1:36">
      <c r="A561" s="7"/>
      <c r="X561" s="6" t="str">
        <f>IF(Table1[[#This Row],[WHRS NET KW TOTAL]]&lt;&gt;0,Table1[[#This Row],[WHRS NET KW TOTAL]]-U560,"")</f>
        <v/>
      </c>
      <c r="Y561" s="6" t="b">
        <f>IF(AND(Table1[[#This Row],[WHRS KW RECOVERED PER DAY]]&lt;&gt;0,Table1[[#This Row],[WHRS RH]]&lt;&gt;0),ROUND(Table1[[#This Row],[WHRS KW RECOVERED PER DAY]]/Table1[[#This Row],[WHRS RH]],1))</f>
        <v>0</v>
      </c>
      <c r="Z561" s="8"/>
      <c r="AA561" s="1"/>
      <c r="AB561" s="1"/>
      <c r="AC561" s="1"/>
      <c r="AD561" s="1"/>
      <c r="AE561" s="1"/>
      <c r="AF561" s="1"/>
      <c r="AG561" s="1" t="str">
        <f t="shared" si="26"/>
        <v/>
      </c>
      <c r="AH561" s="1" t="str">
        <f t="shared" si="27"/>
        <v/>
      </c>
      <c r="AI561" s="1" t="str">
        <f>IF(AH561="", "", SUM($AH$4:AH561))</f>
        <v/>
      </c>
      <c r="AJ561" s="9"/>
    </row>
    <row r="562" spans="1:36">
      <c r="A562" s="7"/>
      <c r="X562" s="6" t="str">
        <f>IF(Table1[[#This Row],[WHRS NET KW TOTAL]]&lt;&gt;0,Table1[[#This Row],[WHRS NET KW TOTAL]]-U561,"")</f>
        <v/>
      </c>
      <c r="Y562" s="6" t="b">
        <f>IF(AND(Table1[[#This Row],[WHRS KW RECOVERED PER DAY]]&lt;&gt;0,Table1[[#This Row],[WHRS RH]]&lt;&gt;0),ROUND(Table1[[#This Row],[WHRS KW RECOVERED PER DAY]]/Table1[[#This Row],[WHRS RH]],1))</f>
        <v>0</v>
      </c>
      <c r="Z562" s="8"/>
      <c r="AA562" s="1"/>
      <c r="AB562" s="1"/>
      <c r="AC562" s="1"/>
      <c r="AD562" s="1"/>
      <c r="AE562" s="1"/>
      <c r="AF562" s="1"/>
      <c r="AG562" s="1" t="str">
        <f t="shared" si="26"/>
        <v/>
      </c>
      <c r="AH562" s="1" t="str">
        <f t="shared" si="27"/>
        <v/>
      </c>
      <c r="AI562" s="1" t="str">
        <f>IF(AH562="", "", SUM($AH$4:AH562))</f>
        <v/>
      </c>
      <c r="AJ562" s="9"/>
    </row>
    <row r="563" spans="1:36">
      <c r="A563" s="7"/>
      <c r="X563" s="6" t="str">
        <f>IF(Table1[[#This Row],[WHRS NET KW TOTAL]]&lt;&gt;0,Table1[[#This Row],[WHRS NET KW TOTAL]]-U562,"")</f>
        <v/>
      </c>
      <c r="Y563" s="6" t="b">
        <f>IF(AND(Table1[[#This Row],[WHRS KW RECOVERED PER DAY]]&lt;&gt;0,Table1[[#This Row],[WHRS RH]]&lt;&gt;0),ROUND(Table1[[#This Row],[WHRS KW RECOVERED PER DAY]]/Table1[[#This Row],[WHRS RH]],1))</f>
        <v>0</v>
      </c>
      <c r="Z563" s="8"/>
      <c r="AA563" s="1"/>
      <c r="AB563" s="1"/>
      <c r="AC563" s="1"/>
      <c r="AD563" s="1"/>
      <c r="AE563" s="1"/>
      <c r="AF563" s="1"/>
      <c r="AG563" s="1" t="str">
        <f t="shared" si="26"/>
        <v/>
      </c>
      <c r="AH563" s="1" t="str">
        <f t="shared" si="27"/>
        <v/>
      </c>
      <c r="AI563" s="1" t="str">
        <f>IF(AH563="", "", SUM($AH$4:AH563))</f>
        <v/>
      </c>
      <c r="AJ563" s="9"/>
    </row>
    <row r="564" spans="1:36">
      <c r="A564" s="7"/>
      <c r="X564" s="6" t="str">
        <f>IF(Table1[[#This Row],[WHRS NET KW TOTAL]]&lt;&gt;0,Table1[[#This Row],[WHRS NET KW TOTAL]]-U563,"")</f>
        <v/>
      </c>
      <c r="Y564" s="6" t="b">
        <f>IF(AND(Table1[[#This Row],[WHRS KW RECOVERED PER DAY]]&lt;&gt;0,Table1[[#This Row],[WHRS RH]]&lt;&gt;0),ROUND(Table1[[#This Row],[WHRS KW RECOVERED PER DAY]]/Table1[[#This Row],[WHRS RH]],1))</f>
        <v>0</v>
      </c>
      <c r="Z564" s="8"/>
      <c r="AA564" s="1"/>
      <c r="AB564" s="1"/>
      <c r="AC564" s="1"/>
      <c r="AD564" s="1"/>
      <c r="AE564" s="1"/>
      <c r="AF564" s="1"/>
      <c r="AG564" s="1" t="str">
        <f t="shared" si="26"/>
        <v/>
      </c>
      <c r="AH564" s="1" t="str">
        <f t="shared" si="27"/>
        <v/>
      </c>
      <c r="AI564" s="1" t="str">
        <f>IF(AH564="", "", SUM($AH$4:AH564))</f>
        <v/>
      </c>
      <c r="AJ564" s="9"/>
    </row>
    <row r="565" spans="1:36">
      <c r="A565" s="7"/>
      <c r="X565" s="6" t="str">
        <f>IF(Table1[[#This Row],[WHRS NET KW TOTAL]]&lt;&gt;0,Table1[[#This Row],[WHRS NET KW TOTAL]]-U564,"")</f>
        <v/>
      </c>
      <c r="Y565" s="6" t="b">
        <f>IF(AND(Table1[[#This Row],[WHRS KW RECOVERED PER DAY]]&lt;&gt;0,Table1[[#This Row],[WHRS RH]]&lt;&gt;0),ROUND(Table1[[#This Row],[WHRS KW RECOVERED PER DAY]]/Table1[[#This Row],[WHRS RH]],1))</f>
        <v>0</v>
      </c>
      <c r="Z565" s="8"/>
      <c r="AA565" s="1"/>
      <c r="AB565" s="1"/>
      <c r="AC565" s="1"/>
      <c r="AD565" s="1"/>
      <c r="AE565" s="1"/>
      <c r="AF565" s="1"/>
      <c r="AG565" s="1" t="str">
        <f t="shared" si="26"/>
        <v/>
      </c>
      <c r="AH565" s="1" t="str">
        <f t="shared" si="27"/>
        <v/>
      </c>
      <c r="AI565" s="1" t="str">
        <f>IF(AH565="", "", SUM($AH$4:AH565))</f>
        <v/>
      </c>
      <c r="AJ565" s="9"/>
    </row>
    <row r="566" spans="1:36">
      <c r="A566" s="7"/>
      <c r="X566" s="6" t="str">
        <f>IF(Table1[[#This Row],[WHRS NET KW TOTAL]]&lt;&gt;0,Table1[[#This Row],[WHRS NET KW TOTAL]]-U565,"")</f>
        <v/>
      </c>
      <c r="Y566" s="6" t="b">
        <f>IF(AND(Table1[[#This Row],[WHRS KW RECOVERED PER DAY]]&lt;&gt;0,Table1[[#This Row],[WHRS RH]]&lt;&gt;0),ROUND(Table1[[#This Row],[WHRS KW RECOVERED PER DAY]]/Table1[[#This Row],[WHRS RH]],1))</f>
        <v>0</v>
      </c>
      <c r="Z566" s="8"/>
      <c r="AA566" s="1"/>
      <c r="AB566" s="1"/>
      <c r="AC566" s="1"/>
      <c r="AD566" s="1"/>
      <c r="AE566" s="1"/>
      <c r="AF566" s="1"/>
      <c r="AG566" s="1" t="str">
        <f t="shared" si="26"/>
        <v/>
      </c>
      <c r="AH566" s="1" t="str">
        <f t="shared" si="27"/>
        <v/>
      </c>
      <c r="AI566" s="1" t="str">
        <f>IF(AH566="", "", SUM($AH$4:AH566))</f>
        <v/>
      </c>
      <c r="AJ566" s="9"/>
    </row>
    <row r="567" spans="1:36">
      <c r="A567" s="7"/>
      <c r="X567" s="6" t="str">
        <f>IF(Table1[[#This Row],[WHRS NET KW TOTAL]]&lt;&gt;0,Table1[[#This Row],[WHRS NET KW TOTAL]]-U566,"")</f>
        <v/>
      </c>
      <c r="Y567" s="6" t="b">
        <f>IF(AND(Table1[[#This Row],[WHRS KW RECOVERED PER DAY]]&lt;&gt;0,Table1[[#This Row],[WHRS RH]]&lt;&gt;0),ROUND(Table1[[#This Row],[WHRS KW RECOVERED PER DAY]]/Table1[[#This Row],[WHRS RH]],1))</f>
        <v>0</v>
      </c>
      <c r="Z567" s="8"/>
      <c r="AA567" s="1"/>
      <c r="AB567" s="1"/>
      <c r="AC567" s="1"/>
      <c r="AD567" s="1"/>
      <c r="AE567" s="1"/>
      <c r="AF567" s="1"/>
      <c r="AG567" s="1" t="str">
        <f t="shared" si="26"/>
        <v/>
      </c>
      <c r="AH567" s="1" t="str">
        <f t="shared" si="27"/>
        <v/>
      </c>
      <c r="AI567" s="1" t="str">
        <f>IF(AH567="", "", SUM($AH$4:AH567))</f>
        <v/>
      </c>
      <c r="AJ567" s="9"/>
    </row>
    <row r="568" spans="1:36">
      <c r="A568" s="7"/>
      <c r="X568" s="6" t="str">
        <f>IF(Table1[[#This Row],[WHRS NET KW TOTAL]]&lt;&gt;0,Table1[[#This Row],[WHRS NET KW TOTAL]]-U567,"")</f>
        <v/>
      </c>
      <c r="Y568" s="6" t="b">
        <f>IF(AND(Table1[[#This Row],[WHRS KW RECOVERED PER DAY]]&lt;&gt;0,Table1[[#This Row],[WHRS RH]]&lt;&gt;0),ROUND(Table1[[#This Row],[WHRS KW RECOVERED PER DAY]]/Table1[[#This Row],[WHRS RH]],1))</f>
        <v>0</v>
      </c>
      <c r="Z568" s="8"/>
      <c r="AA568" s="1"/>
      <c r="AB568" s="1"/>
      <c r="AC568" s="1"/>
      <c r="AD568" s="1"/>
      <c r="AE568" s="1"/>
      <c r="AF568" s="1"/>
      <c r="AG568" s="1" t="str">
        <f t="shared" si="26"/>
        <v/>
      </c>
      <c r="AH568" s="1" t="str">
        <f t="shared" si="27"/>
        <v/>
      </c>
      <c r="AI568" s="1" t="str">
        <f>IF(AH568="", "", SUM($AH$4:AH568))</f>
        <v/>
      </c>
      <c r="AJ568" s="9"/>
    </row>
    <row r="569" spans="1:36">
      <c r="A569" s="7"/>
      <c r="X569" s="6" t="str">
        <f>IF(Table1[[#This Row],[WHRS NET KW TOTAL]]&lt;&gt;0,Table1[[#This Row],[WHRS NET KW TOTAL]]-U568,"")</f>
        <v/>
      </c>
      <c r="Y569" s="6" t="b">
        <f>IF(AND(Table1[[#This Row],[WHRS KW RECOVERED PER DAY]]&lt;&gt;0,Table1[[#This Row],[WHRS RH]]&lt;&gt;0),ROUND(Table1[[#This Row],[WHRS KW RECOVERED PER DAY]]/Table1[[#This Row],[WHRS RH]],1))</f>
        <v>0</v>
      </c>
      <c r="Z569" s="8"/>
      <c r="AA569" s="1"/>
      <c r="AB569" s="1"/>
      <c r="AC569" s="1"/>
      <c r="AD569" s="1"/>
      <c r="AE569" s="1"/>
      <c r="AF569" s="1"/>
      <c r="AG569" s="1" t="str">
        <f t="shared" si="26"/>
        <v/>
      </c>
      <c r="AH569" s="1" t="str">
        <f t="shared" si="27"/>
        <v/>
      </c>
      <c r="AI569" s="1" t="str">
        <f>IF(AH569="", "", SUM($AH$4:AH569))</f>
        <v/>
      </c>
      <c r="AJ569" s="9"/>
    </row>
    <row r="570" spans="1:36">
      <c r="A570" s="7"/>
      <c r="X570" s="6" t="str">
        <f>IF(Table1[[#This Row],[WHRS NET KW TOTAL]]&lt;&gt;0,Table1[[#This Row],[WHRS NET KW TOTAL]]-U569,"")</f>
        <v/>
      </c>
      <c r="Y570" s="6" t="b">
        <f>IF(AND(Table1[[#This Row],[WHRS KW RECOVERED PER DAY]]&lt;&gt;0,Table1[[#This Row],[WHRS RH]]&lt;&gt;0),ROUND(Table1[[#This Row],[WHRS KW RECOVERED PER DAY]]/Table1[[#This Row],[WHRS RH]],1))</f>
        <v>0</v>
      </c>
      <c r="Z570" s="8"/>
      <c r="AA570" s="1"/>
      <c r="AB570" s="1"/>
      <c r="AC570" s="1"/>
      <c r="AD570" s="1"/>
      <c r="AE570" s="1"/>
      <c r="AF570" s="1"/>
      <c r="AG570" s="1" t="str">
        <f t="shared" si="26"/>
        <v/>
      </c>
      <c r="AH570" s="1" t="str">
        <f t="shared" si="27"/>
        <v/>
      </c>
      <c r="AI570" s="1" t="str">
        <f>IF(AH570="", "", SUM($AH$4:AH570))</f>
        <v/>
      </c>
      <c r="AJ570" s="9"/>
    </row>
    <row r="571" spans="1:36">
      <c r="A571" s="7"/>
      <c r="X571" s="6" t="str">
        <f>IF(Table1[[#This Row],[WHRS NET KW TOTAL]]&lt;&gt;0,Table1[[#This Row],[WHRS NET KW TOTAL]]-U570,"")</f>
        <v/>
      </c>
      <c r="Y571" s="6" t="b">
        <f>IF(AND(Table1[[#This Row],[WHRS KW RECOVERED PER DAY]]&lt;&gt;0,Table1[[#This Row],[WHRS RH]]&lt;&gt;0),ROUND(Table1[[#This Row],[WHRS KW RECOVERED PER DAY]]/Table1[[#This Row],[WHRS RH]],1))</f>
        <v>0</v>
      </c>
      <c r="Z571" s="8"/>
      <c r="AA571" s="1"/>
      <c r="AB571" s="1"/>
      <c r="AC571" s="1"/>
      <c r="AD571" s="1"/>
      <c r="AE571" s="1"/>
      <c r="AF571" s="1"/>
      <c r="AG571" s="1" t="str">
        <f t="shared" si="26"/>
        <v/>
      </c>
      <c r="AH571" s="1" t="str">
        <f t="shared" si="27"/>
        <v/>
      </c>
      <c r="AI571" s="1" t="str">
        <f>IF(AH571="", "", SUM($AH$4:AH571))</f>
        <v/>
      </c>
      <c r="AJ571" s="9"/>
    </row>
    <row r="572" spans="1:36">
      <c r="A572" s="7"/>
      <c r="X572" s="6" t="str">
        <f>IF(Table1[[#This Row],[WHRS NET KW TOTAL]]&lt;&gt;0,Table1[[#This Row],[WHRS NET KW TOTAL]]-U571,"")</f>
        <v/>
      </c>
      <c r="Y572" s="6" t="b">
        <f>IF(AND(Table1[[#This Row],[WHRS KW RECOVERED PER DAY]]&lt;&gt;0,Table1[[#This Row],[WHRS RH]]&lt;&gt;0),ROUND(Table1[[#This Row],[WHRS KW RECOVERED PER DAY]]/Table1[[#This Row],[WHRS RH]],1))</f>
        <v>0</v>
      </c>
      <c r="Z572" s="8"/>
      <c r="AA572" s="1"/>
      <c r="AB572" s="1"/>
      <c r="AC572" s="1"/>
      <c r="AD572" s="1"/>
      <c r="AE572" s="1"/>
      <c r="AF572" s="1"/>
      <c r="AG572" s="1" t="str">
        <f t="shared" si="26"/>
        <v/>
      </c>
      <c r="AH572" s="1" t="str">
        <f t="shared" si="27"/>
        <v/>
      </c>
      <c r="AI572" s="1" t="str">
        <f>IF(AH572="", "", SUM($AH$4:AH572))</f>
        <v/>
      </c>
      <c r="AJ572" s="9"/>
    </row>
    <row r="573" spans="1:36">
      <c r="A573" s="7"/>
      <c r="X573" s="6" t="str">
        <f>IF(Table1[[#This Row],[WHRS NET KW TOTAL]]&lt;&gt;0,Table1[[#This Row],[WHRS NET KW TOTAL]]-U572,"")</f>
        <v/>
      </c>
      <c r="Y573" s="6" t="b">
        <f>IF(AND(Table1[[#This Row],[WHRS KW RECOVERED PER DAY]]&lt;&gt;0,Table1[[#This Row],[WHRS RH]]&lt;&gt;0),ROUND(Table1[[#This Row],[WHRS KW RECOVERED PER DAY]]/Table1[[#This Row],[WHRS RH]],1))</f>
        <v>0</v>
      </c>
      <c r="Z573" s="8"/>
      <c r="AA573" s="1"/>
      <c r="AB573" s="1"/>
      <c r="AC573" s="1"/>
      <c r="AD573" s="1"/>
      <c r="AE573" s="1"/>
      <c r="AF573" s="1"/>
      <c r="AG573" s="1" t="str">
        <f t="shared" si="26"/>
        <v/>
      </c>
      <c r="AH573" s="1" t="str">
        <f t="shared" si="27"/>
        <v/>
      </c>
      <c r="AI573" s="1" t="str">
        <f>IF(AH573="", "", SUM($AH$4:AH573))</f>
        <v/>
      </c>
      <c r="AJ573" s="9"/>
    </row>
    <row r="574" spans="1:36">
      <c r="A574" s="7"/>
      <c r="X574" s="6" t="str">
        <f>IF(Table1[[#This Row],[WHRS NET KW TOTAL]]&lt;&gt;0,Table1[[#This Row],[WHRS NET KW TOTAL]]-U573,"")</f>
        <v/>
      </c>
      <c r="Y574" s="6" t="b">
        <f>IF(AND(Table1[[#This Row],[WHRS KW RECOVERED PER DAY]]&lt;&gt;0,Table1[[#This Row],[WHRS RH]]&lt;&gt;0),ROUND(Table1[[#This Row],[WHRS KW RECOVERED PER DAY]]/Table1[[#This Row],[WHRS RH]],1))</f>
        <v>0</v>
      </c>
      <c r="Z574" s="8"/>
      <c r="AA574" s="1"/>
      <c r="AB574" s="1"/>
      <c r="AC574" s="1"/>
      <c r="AD574" s="1"/>
      <c r="AE574" s="1"/>
      <c r="AF574" s="1"/>
      <c r="AG574" s="1" t="str">
        <f t="shared" si="26"/>
        <v/>
      </c>
      <c r="AH574" s="1" t="str">
        <f t="shared" si="27"/>
        <v/>
      </c>
      <c r="AI574" s="1" t="str">
        <f>IF(AH574="", "", SUM($AH$4:AH574))</f>
        <v/>
      </c>
      <c r="AJ574" s="9"/>
    </row>
    <row r="575" spans="1:36">
      <c r="A575" s="7"/>
      <c r="X575" s="6" t="str">
        <f>IF(Table1[[#This Row],[WHRS NET KW TOTAL]]&lt;&gt;0,Table1[[#This Row],[WHRS NET KW TOTAL]]-U574,"")</f>
        <v/>
      </c>
      <c r="Y575" s="6" t="b">
        <f>IF(AND(Table1[[#This Row],[WHRS KW RECOVERED PER DAY]]&lt;&gt;0,Table1[[#This Row],[WHRS RH]]&lt;&gt;0),ROUND(Table1[[#This Row],[WHRS KW RECOVERED PER DAY]]/Table1[[#This Row],[WHRS RH]],1))</f>
        <v>0</v>
      </c>
      <c r="Z575" s="8"/>
      <c r="AA575" s="1"/>
      <c r="AB575" s="1"/>
      <c r="AC575" s="1"/>
      <c r="AD575" s="1"/>
      <c r="AE575" s="1"/>
      <c r="AF575" s="1"/>
      <c r="AG575" s="1" t="str">
        <f t="shared" si="26"/>
        <v/>
      </c>
      <c r="AH575" s="1" t="str">
        <f t="shared" si="27"/>
        <v/>
      </c>
      <c r="AI575" s="1" t="str">
        <f>IF(AH575="", "", SUM($AH$4:AH575))</f>
        <v/>
      </c>
      <c r="AJ575" s="9"/>
    </row>
    <row r="576" spans="1:36">
      <c r="A576" s="7"/>
      <c r="X576" s="6" t="str">
        <f>IF(Table1[[#This Row],[WHRS NET KW TOTAL]]&lt;&gt;0,Table1[[#This Row],[WHRS NET KW TOTAL]]-U575,"")</f>
        <v/>
      </c>
      <c r="Y576" s="6" t="b">
        <f>IF(AND(Table1[[#This Row],[WHRS KW RECOVERED PER DAY]]&lt;&gt;0,Table1[[#This Row],[WHRS RH]]&lt;&gt;0),ROUND(Table1[[#This Row],[WHRS KW RECOVERED PER DAY]]/Table1[[#This Row],[WHRS RH]],1))</f>
        <v>0</v>
      </c>
      <c r="Z576" s="8"/>
      <c r="AA576" s="1"/>
      <c r="AB576" s="1"/>
      <c r="AC576" s="1"/>
      <c r="AD576" s="1"/>
      <c r="AE576" s="1"/>
      <c r="AF576" s="1"/>
      <c r="AG576" s="1" t="str">
        <f t="shared" si="26"/>
        <v/>
      </c>
      <c r="AH576" s="1" t="str">
        <f t="shared" si="27"/>
        <v/>
      </c>
      <c r="AI576" s="1" t="str">
        <f>IF(AH576="", "", SUM($AH$4:AH576))</f>
        <v/>
      </c>
      <c r="AJ576" s="9"/>
    </row>
    <row r="577" spans="1:36">
      <c r="A577" s="7"/>
      <c r="X577" s="6" t="str">
        <f>IF(Table1[[#This Row],[WHRS NET KW TOTAL]]&lt;&gt;0,Table1[[#This Row],[WHRS NET KW TOTAL]]-U576,"")</f>
        <v/>
      </c>
      <c r="Y577" s="6" t="b">
        <f>IF(AND(Table1[[#This Row],[WHRS KW RECOVERED PER DAY]]&lt;&gt;0,Table1[[#This Row],[WHRS RH]]&lt;&gt;0),ROUND(Table1[[#This Row],[WHRS KW RECOVERED PER DAY]]/Table1[[#This Row],[WHRS RH]],1))</f>
        <v>0</v>
      </c>
      <c r="Z577" s="8"/>
      <c r="AA577" s="1"/>
      <c r="AB577" s="1"/>
      <c r="AC577" s="1"/>
      <c r="AD577" s="1"/>
      <c r="AE577" s="1"/>
      <c r="AF577" s="1"/>
      <c r="AG577" s="1" t="str">
        <f t="shared" si="26"/>
        <v/>
      </c>
      <c r="AH577" s="1" t="str">
        <f t="shared" si="27"/>
        <v/>
      </c>
      <c r="AI577" s="1" t="str">
        <f>IF(AH577="", "", SUM($AH$4:AH577))</f>
        <v/>
      </c>
      <c r="AJ577" s="9"/>
    </row>
    <row r="578" spans="1:36">
      <c r="A578" s="7"/>
      <c r="X578" s="6" t="str">
        <f>IF(Table1[[#This Row],[WHRS NET KW TOTAL]]&lt;&gt;0,Table1[[#This Row],[WHRS NET KW TOTAL]]-U577,"")</f>
        <v/>
      </c>
      <c r="Y578" s="6" t="b">
        <f>IF(AND(Table1[[#This Row],[WHRS KW RECOVERED PER DAY]]&lt;&gt;0,Table1[[#This Row],[WHRS RH]]&lt;&gt;0),ROUND(Table1[[#This Row],[WHRS KW RECOVERED PER DAY]]/Table1[[#This Row],[WHRS RH]],1))</f>
        <v>0</v>
      </c>
      <c r="Z578" s="8"/>
      <c r="AA578" s="1"/>
      <c r="AB578" s="1"/>
      <c r="AC578" s="1"/>
      <c r="AD578" s="1"/>
      <c r="AE578" s="1"/>
      <c r="AF578" s="1"/>
      <c r="AG578" s="1" t="str">
        <f t="shared" si="26"/>
        <v/>
      </c>
      <c r="AH578" s="1" t="str">
        <f t="shared" si="27"/>
        <v/>
      </c>
      <c r="AI578" s="1" t="str">
        <f>IF(AH578="", "", SUM($AH$4:AH578))</f>
        <v/>
      </c>
      <c r="AJ578" s="9"/>
    </row>
    <row r="579" spans="1:36">
      <c r="A579" s="7"/>
      <c r="X579" s="6" t="str">
        <f>IF(Table1[[#This Row],[WHRS NET KW TOTAL]]&lt;&gt;0,Table1[[#This Row],[WHRS NET KW TOTAL]]-U578,"")</f>
        <v/>
      </c>
      <c r="Y579" s="6" t="b">
        <f>IF(AND(Table1[[#This Row],[WHRS KW RECOVERED PER DAY]]&lt;&gt;0,Table1[[#This Row],[WHRS RH]]&lt;&gt;0),ROUND(Table1[[#This Row],[WHRS KW RECOVERED PER DAY]]/Table1[[#This Row],[WHRS RH]],1))</f>
        <v>0</v>
      </c>
      <c r="Z579" s="8"/>
      <c r="AA579" s="1"/>
      <c r="AB579" s="1"/>
      <c r="AC579" s="1"/>
      <c r="AD579" s="1"/>
      <c r="AE579" s="1"/>
      <c r="AF579" s="1"/>
      <c r="AG579" s="1" t="str">
        <f t="shared" si="26"/>
        <v/>
      </c>
      <c r="AH579" s="1" t="str">
        <f t="shared" si="27"/>
        <v/>
      </c>
      <c r="AI579" s="1" t="str">
        <f>IF(AH579="", "", SUM($AH$4:AH579))</f>
        <v/>
      </c>
      <c r="AJ579" s="9"/>
    </row>
    <row r="580" spans="1:36">
      <c r="A580" s="7"/>
      <c r="X580" s="6" t="str">
        <f>IF(Table1[[#This Row],[WHRS NET KW TOTAL]]&lt;&gt;0,Table1[[#This Row],[WHRS NET KW TOTAL]]-U579,"")</f>
        <v/>
      </c>
      <c r="Y580" s="6" t="b">
        <f>IF(AND(Table1[[#This Row],[WHRS KW RECOVERED PER DAY]]&lt;&gt;0,Table1[[#This Row],[WHRS RH]]&lt;&gt;0),ROUND(Table1[[#This Row],[WHRS KW RECOVERED PER DAY]]/Table1[[#This Row],[WHRS RH]],1))</f>
        <v>0</v>
      </c>
      <c r="Z580" s="8"/>
      <c r="AA580" s="1"/>
      <c r="AB580" s="1"/>
      <c r="AC580" s="1"/>
      <c r="AD580" s="1"/>
      <c r="AE580" s="1"/>
      <c r="AF580" s="1"/>
      <c r="AG580" s="1" t="str">
        <f t="shared" si="26"/>
        <v/>
      </c>
      <c r="AH580" s="1" t="str">
        <f t="shared" si="27"/>
        <v/>
      </c>
      <c r="AI580" s="1" t="str">
        <f>IF(AH580="", "", SUM($AH$4:AH580))</f>
        <v/>
      </c>
      <c r="AJ580" s="9"/>
    </row>
    <row r="581" spans="1:36">
      <c r="A581" s="7"/>
      <c r="X581" s="6" t="str">
        <f>IF(Table1[[#This Row],[WHRS NET KW TOTAL]]&lt;&gt;0,Table1[[#This Row],[WHRS NET KW TOTAL]]-U580,"")</f>
        <v/>
      </c>
      <c r="Y581" s="6" t="b">
        <f>IF(AND(Table1[[#This Row],[WHRS KW RECOVERED PER DAY]]&lt;&gt;0,Table1[[#This Row],[WHRS RH]]&lt;&gt;0),ROUND(Table1[[#This Row],[WHRS KW RECOVERED PER DAY]]/Table1[[#This Row],[WHRS RH]],1))</f>
        <v>0</v>
      </c>
      <c r="Z581" s="8"/>
      <c r="AA581" s="1"/>
      <c r="AB581" s="1"/>
      <c r="AC581" s="1"/>
      <c r="AD581" s="1"/>
      <c r="AE581" s="1"/>
      <c r="AF581" s="1"/>
      <c r="AG581" s="1" t="str">
        <f t="shared" ref="AG581:AG644" si="28">IF(C581="", "", _xlfn.IFS(C581="LNG", 1345, C581="LSMGO", 1280, C581="VLSFO", 820, C581="HSFO", 635, TRUE, ""))</f>
        <v/>
      </c>
      <c r="AH581" s="1" t="str">
        <f t="shared" ref="AH581:AH644" si="29">IF(OR(W581="", AF581="", AG581=""), "", W581 * (AF581 / 1000000) * AG581)</f>
        <v/>
      </c>
      <c r="AI581" s="1" t="str">
        <f>IF(AH581="", "", SUM($AH$4:AH581))</f>
        <v/>
      </c>
      <c r="AJ581" s="9"/>
    </row>
    <row r="582" spans="1:36">
      <c r="A582" s="7"/>
      <c r="X582" s="6" t="str">
        <f>IF(Table1[[#This Row],[WHRS NET KW TOTAL]]&lt;&gt;0,Table1[[#This Row],[WHRS NET KW TOTAL]]-U581,"")</f>
        <v/>
      </c>
      <c r="Y582" s="6" t="b">
        <f>IF(AND(Table1[[#This Row],[WHRS KW RECOVERED PER DAY]]&lt;&gt;0,Table1[[#This Row],[WHRS RH]]&lt;&gt;0),ROUND(Table1[[#This Row],[WHRS KW RECOVERED PER DAY]]/Table1[[#This Row],[WHRS RH]],1))</f>
        <v>0</v>
      </c>
      <c r="Z582" s="8"/>
      <c r="AA582" s="1"/>
      <c r="AB582" s="1"/>
      <c r="AC582" s="1"/>
      <c r="AD582" s="1"/>
      <c r="AE582" s="1"/>
      <c r="AF582" s="1"/>
      <c r="AG582" s="1" t="str">
        <f t="shared" si="28"/>
        <v/>
      </c>
      <c r="AH582" s="1" t="str">
        <f t="shared" si="29"/>
        <v/>
      </c>
      <c r="AI582" s="1" t="str">
        <f>IF(AH582="", "", SUM($AH$4:AH582))</f>
        <v/>
      </c>
      <c r="AJ582" s="9"/>
    </row>
    <row r="583" spans="1:36">
      <c r="A583" s="7"/>
      <c r="X583" s="6" t="str">
        <f>IF(Table1[[#This Row],[WHRS NET KW TOTAL]]&lt;&gt;0,Table1[[#This Row],[WHRS NET KW TOTAL]]-U582,"")</f>
        <v/>
      </c>
      <c r="Y583" s="6" t="b">
        <f>IF(AND(Table1[[#This Row],[WHRS KW RECOVERED PER DAY]]&lt;&gt;0,Table1[[#This Row],[WHRS RH]]&lt;&gt;0),ROUND(Table1[[#This Row],[WHRS KW RECOVERED PER DAY]]/Table1[[#This Row],[WHRS RH]],1))</f>
        <v>0</v>
      </c>
      <c r="Z583" s="8"/>
      <c r="AA583" s="1"/>
      <c r="AB583" s="1"/>
      <c r="AC583" s="1"/>
      <c r="AD583" s="1"/>
      <c r="AE583" s="1"/>
      <c r="AF583" s="1"/>
      <c r="AG583" s="1" t="str">
        <f t="shared" si="28"/>
        <v/>
      </c>
      <c r="AH583" s="1" t="str">
        <f t="shared" si="29"/>
        <v/>
      </c>
      <c r="AI583" s="1" t="str">
        <f>IF(AH583="", "", SUM($AH$4:AH583))</f>
        <v/>
      </c>
      <c r="AJ583" s="9"/>
    </row>
    <row r="584" spans="1:36">
      <c r="A584" s="7"/>
      <c r="X584" s="6" t="str">
        <f>IF(Table1[[#This Row],[WHRS NET KW TOTAL]]&lt;&gt;0,Table1[[#This Row],[WHRS NET KW TOTAL]]-U583,"")</f>
        <v/>
      </c>
      <c r="Y584" s="6" t="b">
        <f>IF(AND(Table1[[#This Row],[WHRS KW RECOVERED PER DAY]]&lt;&gt;0,Table1[[#This Row],[WHRS RH]]&lt;&gt;0),ROUND(Table1[[#This Row],[WHRS KW RECOVERED PER DAY]]/Table1[[#This Row],[WHRS RH]],1))</f>
        <v>0</v>
      </c>
      <c r="Z584" s="8"/>
      <c r="AA584" s="1"/>
      <c r="AB584" s="1"/>
      <c r="AC584" s="1"/>
      <c r="AD584" s="1"/>
      <c r="AE584" s="1"/>
      <c r="AF584" s="1"/>
      <c r="AG584" s="1" t="str">
        <f t="shared" si="28"/>
        <v/>
      </c>
      <c r="AH584" s="1" t="str">
        <f t="shared" si="29"/>
        <v/>
      </c>
      <c r="AI584" s="1" t="str">
        <f>IF(AH584="", "", SUM($AH$4:AH584))</f>
        <v/>
      </c>
      <c r="AJ584" s="9"/>
    </row>
    <row r="585" spans="1:36">
      <c r="A585" s="7"/>
      <c r="X585" s="6" t="str">
        <f>IF(Table1[[#This Row],[WHRS NET KW TOTAL]]&lt;&gt;0,Table1[[#This Row],[WHRS NET KW TOTAL]]-U584,"")</f>
        <v/>
      </c>
      <c r="Y585" s="6" t="b">
        <f>IF(AND(Table1[[#This Row],[WHRS KW RECOVERED PER DAY]]&lt;&gt;0,Table1[[#This Row],[WHRS RH]]&lt;&gt;0),ROUND(Table1[[#This Row],[WHRS KW RECOVERED PER DAY]]/Table1[[#This Row],[WHRS RH]],1))</f>
        <v>0</v>
      </c>
      <c r="Z585" s="8"/>
      <c r="AA585" s="1"/>
      <c r="AB585" s="1"/>
      <c r="AC585" s="1"/>
      <c r="AD585" s="1"/>
      <c r="AE585" s="1"/>
      <c r="AF585" s="1"/>
      <c r="AG585" s="1" t="str">
        <f t="shared" si="28"/>
        <v/>
      </c>
      <c r="AH585" s="1" t="str">
        <f t="shared" si="29"/>
        <v/>
      </c>
      <c r="AI585" s="1" t="str">
        <f>IF(AH585="", "", SUM($AH$4:AH585))</f>
        <v/>
      </c>
      <c r="AJ585" s="9"/>
    </row>
    <row r="586" spans="1:36">
      <c r="A586" s="7"/>
      <c r="X586" s="6" t="str">
        <f>IF(Table1[[#This Row],[WHRS NET KW TOTAL]]&lt;&gt;0,Table1[[#This Row],[WHRS NET KW TOTAL]]-U585,"")</f>
        <v/>
      </c>
      <c r="Y586" s="6" t="b">
        <f>IF(AND(Table1[[#This Row],[WHRS KW RECOVERED PER DAY]]&lt;&gt;0,Table1[[#This Row],[WHRS RH]]&lt;&gt;0),ROUND(Table1[[#This Row],[WHRS KW RECOVERED PER DAY]]/Table1[[#This Row],[WHRS RH]],1))</f>
        <v>0</v>
      </c>
      <c r="Z586" s="8"/>
      <c r="AA586" s="1"/>
      <c r="AB586" s="1"/>
      <c r="AC586" s="1"/>
      <c r="AD586" s="1"/>
      <c r="AE586" s="1"/>
      <c r="AF586" s="1"/>
      <c r="AG586" s="1" t="str">
        <f t="shared" si="28"/>
        <v/>
      </c>
      <c r="AH586" s="1" t="str">
        <f t="shared" si="29"/>
        <v/>
      </c>
      <c r="AI586" s="1" t="str">
        <f>IF(AH586="", "", SUM($AH$4:AH586))</f>
        <v/>
      </c>
      <c r="AJ586" s="9"/>
    </row>
    <row r="587" spans="1:36">
      <c r="A587" s="7"/>
      <c r="X587" s="6" t="str">
        <f>IF(Table1[[#This Row],[WHRS NET KW TOTAL]]&lt;&gt;0,Table1[[#This Row],[WHRS NET KW TOTAL]]-U586,"")</f>
        <v/>
      </c>
      <c r="Y587" s="6" t="b">
        <f>IF(AND(Table1[[#This Row],[WHRS KW RECOVERED PER DAY]]&lt;&gt;0,Table1[[#This Row],[WHRS RH]]&lt;&gt;0),ROUND(Table1[[#This Row],[WHRS KW RECOVERED PER DAY]]/Table1[[#This Row],[WHRS RH]],1))</f>
        <v>0</v>
      </c>
      <c r="Z587" s="8"/>
      <c r="AA587" s="1"/>
      <c r="AB587" s="1"/>
      <c r="AC587" s="1"/>
      <c r="AD587" s="1"/>
      <c r="AE587" s="1"/>
      <c r="AF587" s="1"/>
      <c r="AG587" s="1" t="str">
        <f t="shared" si="28"/>
        <v/>
      </c>
      <c r="AH587" s="1" t="str">
        <f t="shared" si="29"/>
        <v/>
      </c>
      <c r="AI587" s="1" t="str">
        <f>IF(AH587="", "", SUM($AH$4:AH587))</f>
        <v/>
      </c>
      <c r="AJ587" s="9"/>
    </row>
    <row r="588" spans="1:36">
      <c r="A588" s="7"/>
      <c r="X588" s="6" t="str">
        <f>IF(Table1[[#This Row],[WHRS NET KW TOTAL]]&lt;&gt;0,Table1[[#This Row],[WHRS NET KW TOTAL]]-U587,"")</f>
        <v/>
      </c>
      <c r="Y588" s="6" t="b">
        <f>IF(AND(Table1[[#This Row],[WHRS KW RECOVERED PER DAY]]&lt;&gt;0,Table1[[#This Row],[WHRS RH]]&lt;&gt;0),ROUND(Table1[[#This Row],[WHRS KW RECOVERED PER DAY]]/Table1[[#This Row],[WHRS RH]],1))</f>
        <v>0</v>
      </c>
      <c r="Z588" s="8"/>
      <c r="AA588" s="1"/>
      <c r="AB588" s="1"/>
      <c r="AC588" s="1"/>
      <c r="AD588" s="1"/>
      <c r="AE588" s="1"/>
      <c r="AF588" s="1"/>
      <c r="AG588" s="1" t="str">
        <f t="shared" si="28"/>
        <v/>
      </c>
      <c r="AH588" s="1" t="str">
        <f t="shared" si="29"/>
        <v/>
      </c>
      <c r="AI588" s="1" t="str">
        <f>IF(AH588="", "", SUM($AH$4:AH588))</f>
        <v/>
      </c>
      <c r="AJ588" s="9"/>
    </row>
    <row r="589" spans="1:36">
      <c r="A589" s="7"/>
      <c r="X589" s="6" t="str">
        <f>IF(Table1[[#This Row],[WHRS NET KW TOTAL]]&lt;&gt;0,Table1[[#This Row],[WHRS NET KW TOTAL]]-U588,"")</f>
        <v/>
      </c>
      <c r="Y589" s="6" t="b">
        <f>IF(AND(Table1[[#This Row],[WHRS KW RECOVERED PER DAY]]&lt;&gt;0,Table1[[#This Row],[WHRS RH]]&lt;&gt;0),ROUND(Table1[[#This Row],[WHRS KW RECOVERED PER DAY]]/Table1[[#This Row],[WHRS RH]],1))</f>
        <v>0</v>
      </c>
      <c r="Z589" s="8"/>
      <c r="AA589" s="1"/>
      <c r="AB589" s="1"/>
      <c r="AC589" s="1"/>
      <c r="AD589" s="1"/>
      <c r="AE589" s="1"/>
      <c r="AF589" s="1"/>
      <c r="AG589" s="1" t="str">
        <f t="shared" si="28"/>
        <v/>
      </c>
      <c r="AH589" s="1" t="str">
        <f t="shared" si="29"/>
        <v/>
      </c>
      <c r="AI589" s="1" t="str">
        <f>IF(AH589="", "", SUM($AH$4:AH589))</f>
        <v/>
      </c>
      <c r="AJ589" s="9"/>
    </row>
    <row r="590" spans="1:36">
      <c r="A590" s="7"/>
      <c r="X590" s="6" t="str">
        <f>IF(Table1[[#This Row],[WHRS NET KW TOTAL]]&lt;&gt;0,Table1[[#This Row],[WHRS NET KW TOTAL]]-U589,"")</f>
        <v/>
      </c>
      <c r="Y590" s="6" t="b">
        <f>IF(AND(Table1[[#This Row],[WHRS KW RECOVERED PER DAY]]&lt;&gt;0,Table1[[#This Row],[WHRS RH]]&lt;&gt;0),ROUND(Table1[[#This Row],[WHRS KW RECOVERED PER DAY]]/Table1[[#This Row],[WHRS RH]],1))</f>
        <v>0</v>
      </c>
      <c r="Z590" s="8"/>
      <c r="AA590" s="1"/>
      <c r="AB590" s="1"/>
      <c r="AC590" s="1"/>
      <c r="AD590" s="1"/>
      <c r="AE590" s="1"/>
      <c r="AF590" s="1"/>
      <c r="AG590" s="1" t="str">
        <f t="shared" si="28"/>
        <v/>
      </c>
      <c r="AH590" s="1" t="str">
        <f t="shared" si="29"/>
        <v/>
      </c>
      <c r="AI590" s="1" t="str">
        <f>IF(AH590="", "", SUM($AH$4:AH590))</f>
        <v/>
      </c>
      <c r="AJ590" s="9"/>
    </row>
    <row r="591" spans="1:36">
      <c r="A591" s="7"/>
      <c r="X591" s="6" t="str">
        <f>IF(Table1[[#This Row],[WHRS NET KW TOTAL]]&lt;&gt;0,Table1[[#This Row],[WHRS NET KW TOTAL]]-U590,"")</f>
        <v/>
      </c>
      <c r="Y591" s="6" t="b">
        <f>IF(AND(Table1[[#This Row],[WHRS KW RECOVERED PER DAY]]&lt;&gt;0,Table1[[#This Row],[WHRS RH]]&lt;&gt;0),ROUND(Table1[[#This Row],[WHRS KW RECOVERED PER DAY]]/Table1[[#This Row],[WHRS RH]],1))</f>
        <v>0</v>
      </c>
      <c r="Z591" s="8"/>
      <c r="AA591" s="1"/>
      <c r="AB591" s="1"/>
      <c r="AC591" s="1"/>
      <c r="AD591" s="1"/>
      <c r="AE591" s="1"/>
      <c r="AF591" s="1"/>
      <c r="AG591" s="1" t="str">
        <f t="shared" si="28"/>
        <v/>
      </c>
      <c r="AH591" s="1" t="str">
        <f t="shared" si="29"/>
        <v/>
      </c>
      <c r="AI591" s="1" t="str">
        <f>IF(AH591="", "", SUM($AH$4:AH591))</f>
        <v/>
      </c>
      <c r="AJ591" s="9"/>
    </row>
    <row r="592" spans="1:36">
      <c r="A592" s="7"/>
      <c r="X592" s="6" t="str">
        <f>IF(Table1[[#This Row],[WHRS NET KW TOTAL]]&lt;&gt;0,Table1[[#This Row],[WHRS NET KW TOTAL]]-U591,"")</f>
        <v/>
      </c>
      <c r="Y592" s="6" t="b">
        <f>IF(AND(Table1[[#This Row],[WHRS KW RECOVERED PER DAY]]&lt;&gt;0,Table1[[#This Row],[WHRS RH]]&lt;&gt;0),ROUND(Table1[[#This Row],[WHRS KW RECOVERED PER DAY]]/Table1[[#This Row],[WHRS RH]],1))</f>
        <v>0</v>
      </c>
      <c r="Z592" s="8"/>
      <c r="AA592" s="1"/>
      <c r="AB592" s="1"/>
      <c r="AC592" s="1"/>
      <c r="AD592" s="1"/>
      <c r="AE592" s="1"/>
      <c r="AF592" s="1"/>
      <c r="AG592" s="1" t="str">
        <f t="shared" si="28"/>
        <v/>
      </c>
      <c r="AH592" s="1" t="str">
        <f t="shared" si="29"/>
        <v/>
      </c>
      <c r="AI592" s="1" t="str">
        <f>IF(AH592="", "", SUM($AH$4:AH592))</f>
        <v/>
      </c>
      <c r="AJ592" s="9"/>
    </row>
    <row r="593" spans="1:36">
      <c r="A593" s="7"/>
      <c r="X593" s="6" t="str">
        <f>IF(Table1[[#This Row],[WHRS NET KW TOTAL]]&lt;&gt;0,Table1[[#This Row],[WHRS NET KW TOTAL]]-U592,"")</f>
        <v/>
      </c>
      <c r="Y593" s="6" t="b">
        <f>IF(AND(Table1[[#This Row],[WHRS KW RECOVERED PER DAY]]&lt;&gt;0,Table1[[#This Row],[WHRS RH]]&lt;&gt;0),ROUND(Table1[[#This Row],[WHRS KW RECOVERED PER DAY]]/Table1[[#This Row],[WHRS RH]],1))</f>
        <v>0</v>
      </c>
      <c r="Z593" s="8"/>
      <c r="AA593" s="1"/>
      <c r="AB593" s="1"/>
      <c r="AC593" s="1"/>
      <c r="AD593" s="1"/>
      <c r="AE593" s="1"/>
      <c r="AF593" s="1"/>
      <c r="AG593" s="1" t="str">
        <f t="shared" si="28"/>
        <v/>
      </c>
      <c r="AH593" s="1" t="str">
        <f t="shared" si="29"/>
        <v/>
      </c>
      <c r="AI593" s="1" t="str">
        <f>IF(AH593="", "", SUM($AH$4:AH593))</f>
        <v/>
      </c>
      <c r="AJ593" s="9"/>
    </row>
    <row r="594" spans="1:36">
      <c r="A594" s="7"/>
      <c r="X594" s="6" t="str">
        <f>IF(Table1[[#This Row],[WHRS NET KW TOTAL]]&lt;&gt;0,Table1[[#This Row],[WHRS NET KW TOTAL]]-U593,"")</f>
        <v/>
      </c>
      <c r="Y594" s="6" t="b">
        <f>IF(AND(Table1[[#This Row],[WHRS KW RECOVERED PER DAY]]&lt;&gt;0,Table1[[#This Row],[WHRS RH]]&lt;&gt;0),ROUND(Table1[[#This Row],[WHRS KW RECOVERED PER DAY]]/Table1[[#This Row],[WHRS RH]],1))</f>
        <v>0</v>
      </c>
      <c r="Z594" s="8"/>
      <c r="AA594" s="1"/>
      <c r="AB594" s="1"/>
      <c r="AC594" s="1"/>
      <c r="AD594" s="1"/>
      <c r="AE594" s="1"/>
      <c r="AF594" s="1"/>
      <c r="AG594" s="1" t="str">
        <f t="shared" si="28"/>
        <v/>
      </c>
      <c r="AH594" s="1" t="str">
        <f t="shared" si="29"/>
        <v/>
      </c>
      <c r="AI594" s="1" t="str">
        <f>IF(AH594="", "", SUM($AH$4:AH594))</f>
        <v/>
      </c>
      <c r="AJ594" s="9"/>
    </row>
    <row r="595" spans="1:36">
      <c r="A595" s="7"/>
      <c r="X595" s="6" t="str">
        <f>IF(Table1[[#This Row],[WHRS NET KW TOTAL]]&lt;&gt;0,Table1[[#This Row],[WHRS NET KW TOTAL]]-U594,"")</f>
        <v/>
      </c>
      <c r="Y595" s="6" t="b">
        <f>IF(AND(Table1[[#This Row],[WHRS KW RECOVERED PER DAY]]&lt;&gt;0,Table1[[#This Row],[WHRS RH]]&lt;&gt;0),ROUND(Table1[[#This Row],[WHRS KW RECOVERED PER DAY]]/Table1[[#This Row],[WHRS RH]],1))</f>
        <v>0</v>
      </c>
      <c r="Z595" s="8"/>
      <c r="AA595" s="1"/>
      <c r="AB595" s="1"/>
      <c r="AC595" s="1"/>
      <c r="AD595" s="1"/>
      <c r="AE595" s="1"/>
      <c r="AF595" s="1"/>
      <c r="AG595" s="1" t="str">
        <f t="shared" si="28"/>
        <v/>
      </c>
      <c r="AH595" s="1" t="str">
        <f t="shared" si="29"/>
        <v/>
      </c>
      <c r="AI595" s="1" t="str">
        <f>IF(AH595="", "", SUM($AH$4:AH595))</f>
        <v/>
      </c>
      <c r="AJ595" s="9"/>
    </row>
    <row r="596" spans="1:36">
      <c r="A596" s="7"/>
      <c r="X596" s="6" t="str">
        <f>IF(Table1[[#This Row],[WHRS NET KW TOTAL]]&lt;&gt;0,Table1[[#This Row],[WHRS NET KW TOTAL]]-U595,"")</f>
        <v/>
      </c>
      <c r="Y596" s="6" t="b">
        <f>IF(AND(Table1[[#This Row],[WHRS KW RECOVERED PER DAY]]&lt;&gt;0,Table1[[#This Row],[WHRS RH]]&lt;&gt;0),ROUND(Table1[[#This Row],[WHRS KW RECOVERED PER DAY]]/Table1[[#This Row],[WHRS RH]],1))</f>
        <v>0</v>
      </c>
      <c r="Z596" s="8"/>
      <c r="AA596" s="1"/>
      <c r="AB596" s="1"/>
      <c r="AC596" s="1"/>
      <c r="AD596" s="1"/>
      <c r="AE596" s="1"/>
      <c r="AF596" s="1"/>
      <c r="AG596" s="1" t="str">
        <f t="shared" si="28"/>
        <v/>
      </c>
      <c r="AH596" s="1" t="str">
        <f t="shared" si="29"/>
        <v/>
      </c>
      <c r="AI596" s="1" t="str">
        <f>IF(AH596="", "", SUM($AH$4:AH596))</f>
        <v/>
      </c>
      <c r="AJ596" s="9"/>
    </row>
    <row r="597" spans="1:36">
      <c r="A597" s="7"/>
      <c r="X597" s="6" t="str">
        <f>IF(Table1[[#This Row],[WHRS NET KW TOTAL]]&lt;&gt;0,Table1[[#This Row],[WHRS NET KW TOTAL]]-U596,"")</f>
        <v/>
      </c>
      <c r="Y597" s="6" t="b">
        <f>IF(AND(Table1[[#This Row],[WHRS KW RECOVERED PER DAY]]&lt;&gt;0,Table1[[#This Row],[WHRS RH]]&lt;&gt;0),ROUND(Table1[[#This Row],[WHRS KW RECOVERED PER DAY]]/Table1[[#This Row],[WHRS RH]],1))</f>
        <v>0</v>
      </c>
      <c r="Z597" s="8"/>
      <c r="AA597" s="1"/>
      <c r="AB597" s="1"/>
      <c r="AC597" s="1"/>
      <c r="AD597" s="1"/>
      <c r="AE597" s="1"/>
      <c r="AF597" s="1"/>
      <c r="AG597" s="1" t="str">
        <f t="shared" si="28"/>
        <v/>
      </c>
      <c r="AH597" s="1" t="str">
        <f t="shared" si="29"/>
        <v/>
      </c>
      <c r="AI597" s="1" t="str">
        <f>IF(AH597="", "", SUM($AH$4:AH597))</f>
        <v/>
      </c>
      <c r="AJ597" s="9"/>
    </row>
    <row r="598" spans="1:36">
      <c r="A598" s="7"/>
      <c r="X598" s="6" t="str">
        <f>IF(Table1[[#This Row],[WHRS NET KW TOTAL]]&lt;&gt;0,Table1[[#This Row],[WHRS NET KW TOTAL]]-U597,"")</f>
        <v/>
      </c>
      <c r="Y598" s="6" t="b">
        <f>IF(AND(Table1[[#This Row],[WHRS KW RECOVERED PER DAY]]&lt;&gt;0,Table1[[#This Row],[WHRS RH]]&lt;&gt;0),ROUND(Table1[[#This Row],[WHRS KW RECOVERED PER DAY]]/Table1[[#This Row],[WHRS RH]],1))</f>
        <v>0</v>
      </c>
      <c r="Z598" s="8"/>
      <c r="AA598" s="1"/>
      <c r="AB598" s="1"/>
      <c r="AC598" s="1"/>
      <c r="AD598" s="1"/>
      <c r="AE598" s="1"/>
      <c r="AF598" s="1"/>
      <c r="AG598" s="1" t="str">
        <f t="shared" si="28"/>
        <v/>
      </c>
      <c r="AH598" s="1" t="str">
        <f t="shared" si="29"/>
        <v/>
      </c>
      <c r="AI598" s="1" t="str">
        <f>IF(AH598="", "", SUM($AH$4:AH598))</f>
        <v/>
      </c>
      <c r="AJ598" s="9"/>
    </row>
    <row r="599" spans="1:36">
      <c r="A599" s="7"/>
      <c r="X599" s="6" t="str">
        <f>IF(Table1[[#This Row],[WHRS NET KW TOTAL]]&lt;&gt;0,Table1[[#This Row],[WHRS NET KW TOTAL]]-U598,"")</f>
        <v/>
      </c>
      <c r="Y599" s="6" t="b">
        <f>IF(AND(Table1[[#This Row],[WHRS KW RECOVERED PER DAY]]&lt;&gt;0,Table1[[#This Row],[WHRS RH]]&lt;&gt;0),ROUND(Table1[[#This Row],[WHRS KW RECOVERED PER DAY]]/Table1[[#This Row],[WHRS RH]],1))</f>
        <v>0</v>
      </c>
      <c r="Z599" s="8"/>
      <c r="AA599" s="1"/>
      <c r="AB599" s="1"/>
      <c r="AC599" s="1"/>
      <c r="AD599" s="1"/>
      <c r="AE599" s="1"/>
      <c r="AF599" s="1"/>
      <c r="AG599" s="1" t="str">
        <f t="shared" si="28"/>
        <v/>
      </c>
      <c r="AH599" s="1" t="str">
        <f t="shared" si="29"/>
        <v/>
      </c>
      <c r="AI599" s="1" t="str">
        <f>IF(AH599="", "", SUM($AH$4:AH599))</f>
        <v/>
      </c>
      <c r="AJ599" s="9"/>
    </row>
    <row r="600" spans="1:36">
      <c r="A600" s="7"/>
      <c r="X600" s="6" t="str">
        <f>IF(Table1[[#This Row],[WHRS NET KW TOTAL]]&lt;&gt;0,Table1[[#This Row],[WHRS NET KW TOTAL]]-U599,"")</f>
        <v/>
      </c>
      <c r="Y600" s="6" t="b">
        <f>IF(AND(Table1[[#This Row],[WHRS KW RECOVERED PER DAY]]&lt;&gt;0,Table1[[#This Row],[WHRS RH]]&lt;&gt;0),ROUND(Table1[[#This Row],[WHRS KW RECOVERED PER DAY]]/Table1[[#This Row],[WHRS RH]],1))</f>
        <v>0</v>
      </c>
      <c r="Z600" s="8"/>
      <c r="AA600" s="1"/>
      <c r="AB600" s="1"/>
      <c r="AC600" s="1"/>
      <c r="AD600" s="1"/>
      <c r="AE600" s="1"/>
      <c r="AF600" s="1"/>
      <c r="AG600" s="1" t="str">
        <f t="shared" si="28"/>
        <v/>
      </c>
      <c r="AH600" s="1" t="str">
        <f t="shared" si="29"/>
        <v/>
      </c>
      <c r="AI600" s="1" t="str">
        <f>IF(AH600="", "", SUM($AH$4:AH600))</f>
        <v/>
      </c>
      <c r="AJ600" s="9"/>
    </row>
    <row r="601" spans="1:36">
      <c r="A601" s="7"/>
      <c r="X601" s="6" t="str">
        <f>IF(Table1[[#This Row],[WHRS NET KW TOTAL]]&lt;&gt;0,Table1[[#This Row],[WHRS NET KW TOTAL]]-U600,"")</f>
        <v/>
      </c>
      <c r="Y601" s="6" t="b">
        <f>IF(AND(Table1[[#This Row],[WHRS KW RECOVERED PER DAY]]&lt;&gt;0,Table1[[#This Row],[WHRS RH]]&lt;&gt;0),ROUND(Table1[[#This Row],[WHRS KW RECOVERED PER DAY]]/Table1[[#This Row],[WHRS RH]],1))</f>
        <v>0</v>
      </c>
      <c r="Z601" s="8"/>
      <c r="AA601" s="1"/>
      <c r="AB601" s="1"/>
      <c r="AC601" s="1"/>
      <c r="AD601" s="1"/>
      <c r="AE601" s="1"/>
      <c r="AF601" s="1"/>
      <c r="AG601" s="1" t="str">
        <f t="shared" si="28"/>
        <v/>
      </c>
      <c r="AH601" s="1" t="str">
        <f t="shared" si="29"/>
        <v/>
      </c>
      <c r="AI601" s="1" t="str">
        <f>IF(AH601="", "", SUM($AH$4:AH601))</f>
        <v/>
      </c>
      <c r="AJ601" s="9"/>
    </row>
    <row r="602" spans="1:36">
      <c r="A602" s="7"/>
      <c r="X602" s="6" t="str">
        <f>IF(Table1[[#This Row],[WHRS NET KW TOTAL]]&lt;&gt;0,Table1[[#This Row],[WHRS NET KW TOTAL]]-U601,"")</f>
        <v/>
      </c>
      <c r="Y602" s="6" t="b">
        <f>IF(AND(Table1[[#This Row],[WHRS KW RECOVERED PER DAY]]&lt;&gt;0,Table1[[#This Row],[WHRS RH]]&lt;&gt;0),ROUND(Table1[[#This Row],[WHRS KW RECOVERED PER DAY]]/Table1[[#This Row],[WHRS RH]],1))</f>
        <v>0</v>
      </c>
      <c r="Z602" s="8"/>
      <c r="AA602" s="1"/>
      <c r="AB602" s="1"/>
      <c r="AC602" s="1"/>
      <c r="AD602" s="1"/>
      <c r="AE602" s="1"/>
      <c r="AF602" s="1"/>
      <c r="AG602" s="1" t="str">
        <f t="shared" si="28"/>
        <v/>
      </c>
      <c r="AH602" s="1" t="str">
        <f t="shared" si="29"/>
        <v/>
      </c>
      <c r="AI602" s="1" t="str">
        <f>IF(AH602="", "", SUM($AH$4:AH602))</f>
        <v/>
      </c>
      <c r="AJ602" s="9"/>
    </row>
    <row r="603" spans="1:36">
      <c r="A603" s="7"/>
      <c r="X603" s="6" t="str">
        <f>IF(Table1[[#This Row],[WHRS NET KW TOTAL]]&lt;&gt;0,Table1[[#This Row],[WHRS NET KW TOTAL]]-U602,"")</f>
        <v/>
      </c>
      <c r="Y603" s="6" t="b">
        <f>IF(AND(Table1[[#This Row],[WHRS KW RECOVERED PER DAY]]&lt;&gt;0,Table1[[#This Row],[WHRS RH]]&lt;&gt;0),ROUND(Table1[[#This Row],[WHRS KW RECOVERED PER DAY]]/Table1[[#This Row],[WHRS RH]],1))</f>
        <v>0</v>
      </c>
      <c r="Z603" s="8"/>
      <c r="AA603" s="1"/>
      <c r="AB603" s="1"/>
      <c r="AC603" s="1"/>
      <c r="AD603" s="1"/>
      <c r="AE603" s="1"/>
      <c r="AF603" s="1"/>
      <c r="AG603" s="1" t="str">
        <f t="shared" si="28"/>
        <v/>
      </c>
      <c r="AH603" s="1" t="str">
        <f t="shared" si="29"/>
        <v/>
      </c>
      <c r="AI603" s="1" t="str">
        <f>IF(AH603="", "", SUM($AH$4:AH603))</f>
        <v/>
      </c>
      <c r="AJ603" s="9"/>
    </row>
    <row r="604" spans="1:36">
      <c r="A604" s="7"/>
      <c r="X604" s="6" t="str">
        <f>IF(Table1[[#This Row],[WHRS NET KW TOTAL]]&lt;&gt;0,Table1[[#This Row],[WHRS NET KW TOTAL]]-U603,"")</f>
        <v/>
      </c>
      <c r="Y604" s="6" t="b">
        <f>IF(AND(Table1[[#This Row],[WHRS KW RECOVERED PER DAY]]&lt;&gt;0,Table1[[#This Row],[WHRS RH]]&lt;&gt;0),ROUND(Table1[[#This Row],[WHRS KW RECOVERED PER DAY]]/Table1[[#This Row],[WHRS RH]],1))</f>
        <v>0</v>
      </c>
      <c r="Z604" s="8"/>
      <c r="AA604" s="1"/>
      <c r="AB604" s="1"/>
      <c r="AC604" s="1"/>
      <c r="AD604" s="1"/>
      <c r="AE604" s="1"/>
      <c r="AF604" s="1"/>
      <c r="AG604" s="1" t="str">
        <f t="shared" si="28"/>
        <v/>
      </c>
      <c r="AH604" s="1" t="str">
        <f t="shared" si="29"/>
        <v/>
      </c>
      <c r="AI604" s="1" t="str">
        <f>IF(AH604="", "", SUM($AH$4:AH604))</f>
        <v/>
      </c>
      <c r="AJ604" s="9"/>
    </row>
    <row r="605" spans="1:36">
      <c r="A605" s="7"/>
      <c r="X605" s="6" t="str">
        <f>IF(Table1[[#This Row],[WHRS NET KW TOTAL]]&lt;&gt;0,Table1[[#This Row],[WHRS NET KW TOTAL]]-U604,"")</f>
        <v/>
      </c>
      <c r="Y605" s="6" t="b">
        <f>IF(AND(Table1[[#This Row],[WHRS KW RECOVERED PER DAY]]&lt;&gt;0,Table1[[#This Row],[WHRS RH]]&lt;&gt;0),ROUND(Table1[[#This Row],[WHRS KW RECOVERED PER DAY]]/Table1[[#This Row],[WHRS RH]],1))</f>
        <v>0</v>
      </c>
      <c r="Z605" s="8"/>
      <c r="AA605" s="1"/>
      <c r="AB605" s="1"/>
      <c r="AC605" s="1"/>
      <c r="AD605" s="1"/>
      <c r="AE605" s="1"/>
      <c r="AF605" s="1"/>
      <c r="AG605" s="1" t="str">
        <f t="shared" si="28"/>
        <v/>
      </c>
      <c r="AH605" s="1" t="str">
        <f t="shared" si="29"/>
        <v/>
      </c>
      <c r="AI605" s="1" t="str">
        <f>IF(AH605="", "", SUM($AH$4:AH605))</f>
        <v/>
      </c>
      <c r="AJ605" s="9"/>
    </row>
    <row r="606" spans="1:36">
      <c r="A606" s="7"/>
      <c r="X606" s="6" t="str">
        <f>IF(Table1[[#This Row],[WHRS NET KW TOTAL]]&lt;&gt;0,Table1[[#This Row],[WHRS NET KW TOTAL]]-U605,"")</f>
        <v/>
      </c>
      <c r="Y606" s="6" t="b">
        <f>IF(AND(Table1[[#This Row],[WHRS KW RECOVERED PER DAY]]&lt;&gt;0,Table1[[#This Row],[WHRS RH]]&lt;&gt;0),ROUND(Table1[[#This Row],[WHRS KW RECOVERED PER DAY]]/Table1[[#This Row],[WHRS RH]],1))</f>
        <v>0</v>
      </c>
      <c r="Z606" s="8"/>
      <c r="AA606" s="1"/>
      <c r="AB606" s="1"/>
      <c r="AC606" s="1"/>
      <c r="AD606" s="1"/>
      <c r="AE606" s="1"/>
      <c r="AF606" s="1"/>
      <c r="AG606" s="1" t="str">
        <f t="shared" si="28"/>
        <v/>
      </c>
      <c r="AH606" s="1" t="str">
        <f t="shared" si="29"/>
        <v/>
      </c>
      <c r="AI606" s="1" t="str">
        <f>IF(AH606="", "", SUM($AH$4:AH606))</f>
        <v/>
      </c>
      <c r="AJ606" s="9"/>
    </row>
    <row r="607" spans="1:36">
      <c r="A607" s="7"/>
      <c r="X607" s="6" t="str">
        <f>IF(Table1[[#This Row],[WHRS NET KW TOTAL]]&lt;&gt;0,Table1[[#This Row],[WHRS NET KW TOTAL]]-U606,"")</f>
        <v/>
      </c>
      <c r="Y607" s="6" t="b">
        <f>IF(AND(Table1[[#This Row],[WHRS KW RECOVERED PER DAY]]&lt;&gt;0,Table1[[#This Row],[WHRS RH]]&lt;&gt;0),ROUND(Table1[[#This Row],[WHRS KW RECOVERED PER DAY]]/Table1[[#This Row],[WHRS RH]],1))</f>
        <v>0</v>
      </c>
      <c r="Z607" s="8"/>
      <c r="AA607" s="1"/>
      <c r="AB607" s="1"/>
      <c r="AC607" s="1"/>
      <c r="AD607" s="1"/>
      <c r="AE607" s="1"/>
      <c r="AF607" s="1"/>
      <c r="AG607" s="1" t="str">
        <f t="shared" si="28"/>
        <v/>
      </c>
      <c r="AH607" s="1" t="str">
        <f t="shared" si="29"/>
        <v/>
      </c>
      <c r="AI607" s="1" t="str">
        <f>IF(AH607="", "", SUM($AH$4:AH607))</f>
        <v/>
      </c>
      <c r="AJ607" s="9"/>
    </row>
    <row r="608" spans="1:36">
      <c r="A608" s="7"/>
      <c r="X608" s="6" t="str">
        <f>IF(Table1[[#This Row],[WHRS NET KW TOTAL]]&lt;&gt;0,Table1[[#This Row],[WHRS NET KW TOTAL]]-U607,"")</f>
        <v/>
      </c>
      <c r="Y608" s="6" t="b">
        <f>IF(AND(Table1[[#This Row],[WHRS KW RECOVERED PER DAY]]&lt;&gt;0,Table1[[#This Row],[WHRS RH]]&lt;&gt;0),ROUND(Table1[[#This Row],[WHRS KW RECOVERED PER DAY]]/Table1[[#This Row],[WHRS RH]],1))</f>
        <v>0</v>
      </c>
      <c r="Z608" s="8"/>
      <c r="AA608" s="1"/>
      <c r="AB608" s="1"/>
      <c r="AC608" s="1"/>
      <c r="AD608" s="1"/>
      <c r="AE608" s="1"/>
      <c r="AF608" s="1"/>
      <c r="AG608" s="1" t="str">
        <f t="shared" si="28"/>
        <v/>
      </c>
      <c r="AH608" s="1" t="str">
        <f t="shared" si="29"/>
        <v/>
      </c>
      <c r="AI608" s="1" t="str">
        <f>IF(AH608="", "", SUM($AH$4:AH608))</f>
        <v/>
      </c>
      <c r="AJ608" s="9"/>
    </row>
    <row r="609" spans="1:36">
      <c r="A609" s="7"/>
      <c r="X609" s="6" t="str">
        <f>IF(Table1[[#This Row],[WHRS NET KW TOTAL]]&lt;&gt;0,Table1[[#This Row],[WHRS NET KW TOTAL]]-U608,"")</f>
        <v/>
      </c>
      <c r="Y609" s="6" t="b">
        <f>IF(AND(Table1[[#This Row],[WHRS KW RECOVERED PER DAY]]&lt;&gt;0,Table1[[#This Row],[WHRS RH]]&lt;&gt;0),ROUND(Table1[[#This Row],[WHRS KW RECOVERED PER DAY]]/Table1[[#This Row],[WHRS RH]],1))</f>
        <v>0</v>
      </c>
      <c r="Z609" s="8"/>
      <c r="AA609" s="1"/>
      <c r="AB609" s="1"/>
      <c r="AC609" s="1"/>
      <c r="AD609" s="1"/>
      <c r="AE609" s="1"/>
      <c r="AF609" s="1"/>
      <c r="AG609" s="1" t="str">
        <f t="shared" si="28"/>
        <v/>
      </c>
      <c r="AH609" s="1" t="str">
        <f t="shared" si="29"/>
        <v/>
      </c>
      <c r="AI609" s="1" t="str">
        <f>IF(AH609="", "", SUM($AH$4:AH609))</f>
        <v/>
      </c>
      <c r="AJ609" s="9"/>
    </row>
    <row r="610" spans="1:36">
      <c r="A610" s="7"/>
      <c r="X610" s="6" t="str">
        <f>IF(Table1[[#This Row],[WHRS NET KW TOTAL]]&lt;&gt;0,Table1[[#This Row],[WHRS NET KW TOTAL]]-U609,"")</f>
        <v/>
      </c>
      <c r="Y610" s="6" t="b">
        <f>IF(AND(Table1[[#This Row],[WHRS KW RECOVERED PER DAY]]&lt;&gt;0,Table1[[#This Row],[WHRS RH]]&lt;&gt;0),ROUND(Table1[[#This Row],[WHRS KW RECOVERED PER DAY]]/Table1[[#This Row],[WHRS RH]],1))</f>
        <v>0</v>
      </c>
      <c r="Z610" s="8"/>
      <c r="AA610" s="1"/>
      <c r="AB610" s="1"/>
      <c r="AC610" s="1"/>
      <c r="AD610" s="1"/>
      <c r="AE610" s="1"/>
      <c r="AF610" s="1"/>
      <c r="AG610" s="1" t="str">
        <f t="shared" si="28"/>
        <v/>
      </c>
      <c r="AH610" s="1" t="str">
        <f t="shared" si="29"/>
        <v/>
      </c>
      <c r="AI610" s="1" t="str">
        <f>IF(AH610="", "", SUM($AH$4:AH610))</f>
        <v/>
      </c>
      <c r="AJ610" s="9"/>
    </row>
    <row r="611" spans="1:36">
      <c r="A611" s="7"/>
      <c r="X611" s="6" t="str">
        <f>IF(Table1[[#This Row],[WHRS NET KW TOTAL]]&lt;&gt;0,Table1[[#This Row],[WHRS NET KW TOTAL]]-U610,"")</f>
        <v/>
      </c>
      <c r="Y611" s="6" t="b">
        <f>IF(AND(Table1[[#This Row],[WHRS KW RECOVERED PER DAY]]&lt;&gt;0,Table1[[#This Row],[WHRS RH]]&lt;&gt;0),ROUND(Table1[[#This Row],[WHRS KW RECOVERED PER DAY]]/Table1[[#This Row],[WHRS RH]],1))</f>
        <v>0</v>
      </c>
      <c r="Z611" s="8"/>
      <c r="AA611" s="1"/>
      <c r="AB611" s="1"/>
      <c r="AC611" s="1"/>
      <c r="AD611" s="1"/>
      <c r="AE611" s="1"/>
      <c r="AF611" s="1"/>
      <c r="AG611" s="1" t="str">
        <f t="shared" si="28"/>
        <v/>
      </c>
      <c r="AH611" s="1" t="str">
        <f t="shared" si="29"/>
        <v/>
      </c>
      <c r="AI611" s="1" t="str">
        <f>IF(AH611="", "", SUM($AH$4:AH611))</f>
        <v/>
      </c>
      <c r="AJ611" s="9"/>
    </row>
    <row r="612" spans="1:36">
      <c r="A612" s="7"/>
      <c r="X612" s="6" t="str">
        <f>IF(Table1[[#This Row],[WHRS NET KW TOTAL]]&lt;&gt;0,Table1[[#This Row],[WHRS NET KW TOTAL]]-U611,"")</f>
        <v/>
      </c>
      <c r="Y612" s="6" t="b">
        <f>IF(AND(Table1[[#This Row],[WHRS KW RECOVERED PER DAY]]&lt;&gt;0,Table1[[#This Row],[WHRS RH]]&lt;&gt;0),ROUND(Table1[[#This Row],[WHRS KW RECOVERED PER DAY]]/Table1[[#This Row],[WHRS RH]],1))</f>
        <v>0</v>
      </c>
      <c r="Z612" s="8"/>
      <c r="AA612" s="1"/>
      <c r="AB612" s="1"/>
      <c r="AC612" s="1"/>
      <c r="AD612" s="1"/>
      <c r="AE612" s="1"/>
      <c r="AF612" s="1"/>
      <c r="AG612" s="1" t="str">
        <f t="shared" si="28"/>
        <v/>
      </c>
      <c r="AH612" s="1" t="str">
        <f t="shared" si="29"/>
        <v/>
      </c>
      <c r="AI612" s="1" t="str">
        <f>IF(AH612="", "", SUM($AH$4:AH612))</f>
        <v/>
      </c>
      <c r="AJ612" s="9"/>
    </row>
    <row r="613" spans="1:36">
      <c r="A613" s="7"/>
      <c r="X613" s="6" t="str">
        <f>IF(Table1[[#This Row],[WHRS NET KW TOTAL]]&lt;&gt;0,Table1[[#This Row],[WHRS NET KW TOTAL]]-U612,"")</f>
        <v/>
      </c>
      <c r="Y613" s="6" t="b">
        <f>IF(AND(Table1[[#This Row],[WHRS KW RECOVERED PER DAY]]&lt;&gt;0,Table1[[#This Row],[WHRS RH]]&lt;&gt;0),ROUND(Table1[[#This Row],[WHRS KW RECOVERED PER DAY]]/Table1[[#This Row],[WHRS RH]],1))</f>
        <v>0</v>
      </c>
      <c r="Z613" s="8"/>
      <c r="AA613" s="1"/>
      <c r="AB613" s="1"/>
      <c r="AC613" s="1"/>
      <c r="AD613" s="1"/>
      <c r="AE613" s="1"/>
      <c r="AF613" s="1"/>
      <c r="AG613" s="1" t="str">
        <f t="shared" si="28"/>
        <v/>
      </c>
      <c r="AH613" s="1" t="str">
        <f t="shared" si="29"/>
        <v/>
      </c>
      <c r="AI613" s="1" t="str">
        <f>IF(AH613="", "", SUM($AH$4:AH613))</f>
        <v/>
      </c>
      <c r="AJ613" s="9"/>
    </row>
    <row r="614" spans="1:36">
      <c r="A614" s="7"/>
      <c r="X614" s="6" t="str">
        <f>IF(Table1[[#This Row],[WHRS NET KW TOTAL]]&lt;&gt;0,Table1[[#This Row],[WHRS NET KW TOTAL]]-U613,"")</f>
        <v/>
      </c>
      <c r="Y614" s="6" t="b">
        <f>IF(AND(Table1[[#This Row],[WHRS KW RECOVERED PER DAY]]&lt;&gt;0,Table1[[#This Row],[WHRS RH]]&lt;&gt;0),ROUND(Table1[[#This Row],[WHRS KW RECOVERED PER DAY]]/Table1[[#This Row],[WHRS RH]],1))</f>
        <v>0</v>
      </c>
      <c r="Z614" s="8"/>
      <c r="AA614" s="1"/>
      <c r="AB614" s="1"/>
      <c r="AC614" s="1"/>
      <c r="AD614" s="1"/>
      <c r="AE614" s="1"/>
      <c r="AF614" s="1"/>
      <c r="AG614" s="1" t="str">
        <f t="shared" si="28"/>
        <v/>
      </c>
      <c r="AH614" s="1" t="str">
        <f t="shared" si="29"/>
        <v/>
      </c>
      <c r="AI614" s="1" t="str">
        <f>IF(AH614="", "", SUM($AH$4:AH614))</f>
        <v/>
      </c>
      <c r="AJ614" s="9"/>
    </row>
    <row r="615" spans="1:36">
      <c r="A615" s="7"/>
      <c r="X615" s="6" t="str">
        <f>IF(Table1[[#This Row],[WHRS NET KW TOTAL]]&lt;&gt;0,Table1[[#This Row],[WHRS NET KW TOTAL]]-U614,"")</f>
        <v/>
      </c>
      <c r="Y615" s="6" t="b">
        <f>IF(AND(Table1[[#This Row],[WHRS KW RECOVERED PER DAY]]&lt;&gt;0,Table1[[#This Row],[WHRS RH]]&lt;&gt;0),ROUND(Table1[[#This Row],[WHRS KW RECOVERED PER DAY]]/Table1[[#This Row],[WHRS RH]],1))</f>
        <v>0</v>
      </c>
      <c r="Z615" s="8"/>
      <c r="AA615" s="1"/>
      <c r="AB615" s="1"/>
      <c r="AC615" s="1"/>
      <c r="AD615" s="1"/>
      <c r="AE615" s="1"/>
      <c r="AF615" s="1"/>
      <c r="AG615" s="1" t="str">
        <f t="shared" si="28"/>
        <v/>
      </c>
      <c r="AH615" s="1" t="str">
        <f t="shared" si="29"/>
        <v/>
      </c>
      <c r="AI615" s="1" t="str">
        <f>IF(AH615="", "", SUM($AH$4:AH615))</f>
        <v/>
      </c>
      <c r="AJ615" s="9"/>
    </row>
    <row r="616" spans="1:36">
      <c r="A616" s="7"/>
      <c r="X616" s="6" t="str">
        <f>IF(Table1[[#This Row],[WHRS NET KW TOTAL]]&lt;&gt;0,Table1[[#This Row],[WHRS NET KW TOTAL]]-U615,"")</f>
        <v/>
      </c>
      <c r="Y616" s="6" t="b">
        <f>IF(AND(Table1[[#This Row],[WHRS KW RECOVERED PER DAY]]&lt;&gt;0,Table1[[#This Row],[WHRS RH]]&lt;&gt;0),ROUND(Table1[[#This Row],[WHRS KW RECOVERED PER DAY]]/Table1[[#This Row],[WHRS RH]],1))</f>
        <v>0</v>
      </c>
      <c r="Z616" s="8"/>
      <c r="AA616" s="1"/>
      <c r="AB616" s="1"/>
      <c r="AC616" s="1"/>
      <c r="AD616" s="1"/>
      <c r="AE616" s="1"/>
      <c r="AF616" s="1"/>
      <c r="AG616" s="1" t="str">
        <f t="shared" si="28"/>
        <v/>
      </c>
      <c r="AH616" s="1" t="str">
        <f t="shared" si="29"/>
        <v/>
      </c>
      <c r="AI616" s="1" t="str">
        <f>IF(AH616="", "", SUM($AH$4:AH616))</f>
        <v/>
      </c>
      <c r="AJ616" s="9"/>
    </row>
    <row r="617" spans="1:36">
      <c r="A617" s="7"/>
      <c r="X617" s="6" t="str">
        <f>IF(Table1[[#This Row],[WHRS NET KW TOTAL]]&lt;&gt;0,Table1[[#This Row],[WHRS NET KW TOTAL]]-U616,"")</f>
        <v/>
      </c>
      <c r="Y617" s="6" t="b">
        <f>IF(AND(Table1[[#This Row],[WHRS KW RECOVERED PER DAY]]&lt;&gt;0,Table1[[#This Row],[WHRS RH]]&lt;&gt;0),ROUND(Table1[[#This Row],[WHRS KW RECOVERED PER DAY]]/Table1[[#This Row],[WHRS RH]],1))</f>
        <v>0</v>
      </c>
      <c r="Z617" s="8"/>
      <c r="AA617" s="1"/>
      <c r="AB617" s="1"/>
      <c r="AC617" s="1"/>
      <c r="AD617" s="1"/>
      <c r="AE617" s="1"/>
      <c r="AF617" s="1"/>
      <c r="AG617" s="1" t="str">
        <f t="shared" si="28"/>
        <v/>
      </c>
      <c r="AH617" s="1" t="str">
        <f t="shared" si="29"/>
        <v/>
      </c>
      <c r="AI617" s="1" t="str">
        <f>IF(AH617="", "", SUM($AH$4:AH617))</f>
        <v/>
      </c>
      <c r="AJ617" s="9"/>
    </row>
    <row r="618" spans="1:36">
      <c r="A618" s="7"/>
      <c r="X618" s="6" t="str">
        <f>IF(Table1[[#This Row],[WHRS NET KW TOTAL]]&lt;&gt;0,Table1[[#This Row],[WHRS NET KW TOTAL]]-U617,"")</f>
        <v/>
      </c>
      <c r="Y618" s="6" t="b">
        <f>IF(AND(Table1[[#This Row],[WHRS KW RECOVERED PER DAY]]&lt;&gt;0,Table1[[#This Row],[WHRS RH]]&lt;&gt;0),ROUND(Table1[[#This Row],[WHRS KW RECOVERED PER DAY]]/Table1[[#This Row],[WHRS RH]],1))</f>
        <v>0</v>
      </c>
      <c r="Z618" s="8"/>
      <c r="AA618" s="1"/>
      <c r="AB618" s="1"/>
      <c r="AC618" s="1"/>
      <c r="AD618" s="1"/>
      <c r="AE618" s="1"/>
      <c r="AF618" s="1"/>
      <c r="AG618" s="1" t="str">
        <f t="shared" si="28"/>
        <v/>
      </c>
      <c r="AH618" s="1" t="str">
        <f t="shared" si="29"/>
        <v/>
      </c>
      <c r="AI618" s="1" t="str">
        <f>IF(AH618="", "", SUM($AH$4:AH618))</f>
        <v/>
      </c>
      <c r="AJ618" s="9"/>
    </row>
    <row r="619" spans="1:36">
      <c r="A619" s="7"/>
      <c r="X619" s="6" t="str">
        <f>IF(Table1[[#This Row],[WHRS NET KW TOTAL]]&lt;&gt;0,Table1[[#This Row],[WHRS NET KW TOTAL]]-U618,"")</f>
        <v/>
      </c>
      <c r="Y619" s="6" t="b">
        <f>IF(AND(Table1[[#This Row],[WHRS KW RECOVERED PER DAY]]&lt;&gt;0,Table1[[#This Row],[WHRS RH]]&lt;&gt;0),ROUND(Table1[[#This Row],[WHRS KW RECOVERED PER DAY]]/Table1[[#This Row],[WHRS RH]],1))</f>
        <v>0</v>
      </c>
      <c r="Z619" s="8"/>
      <c r="AA619" s="1"/>
      <c r="AB619" s="1"/>
      <c r="AC619" s="1"/>
      <c r="AD619" s="1"/>
      <c r="AE619" s="1"/>
      <c r="AF619" s="1"/>
      <c r="AG619" s="1" t="str">
        <f t="shared" si="28"/>
        <v/>
      </c>
      <c r="AH619" s="1" t="str">
        <f t="shared" si="29"/>
        <v/>
      </c>
      <c r="AI619" s="1" t="str">
        <f>IF(AH619="", "", SUM($AH$4:AH619))</f>
        <v/>
      </c>
      <c r="AJ619" s="9"/>
    </row>
    <row r="620" spans="1:36">
      <c r="A620" s="7"/>
      <c r="X620" s="6" t="str">
        <f>IF(Table1[[#This Row],[WHRS NET KW TOTAL]]&lt;&gt;0,Table1[[#This Row],[WHRS NET KW TOTAL]]-U619,"")</f>
        <v/>
      </c>
      <c r="Y620" s="6" t="b">
        <f>IF(AND(Table1[[#This Row],[WHRS KW RECOVERED PER DAY]]&lt;&gt;0,Table1[[#This Row],[WHRS RH]]&lt;&gt;0),ROUND(Table1[[#This Row],[WHRS KW RECOVERED PER DAY]]/Table1[[#This Row],[WHRS RH]],1))</f>
        <v>0</v>
      </c>
      <c r="Z620" s="8"/>
      <c r="AA620" s="1"/>
      <c r="AB620" s="1"/>
      <c r="AC620" s="1"/>
      <c r="AD620" s="1"/>
      <c r="AE620" s="1"/>
      <c r="AF620" s="1"/>
      <c r="AG620" s="1" t="str">
        <f t="shared" si="28"/>
        <v/>
      </c>
      <c r="AH620" s="1" t="str">
        <f t="shared" si="29"/>
        <v/>
      </c>
      <c r="AI620" s="1" t="str">
        <f>IF(AH620="", "", SUM($AH$4:AH620))</f>
        <v/>
      </c>
      <c r="AJ620" s="9"/>
    </row>
    <row r="621" spans="1:36">
      <c r="A621" s="7"/>
      <c r="X621" s="6" t="str">
        <f>IF(Table1[[#This Row],[WHRS NET KW TOTAL]]&lt;&gt;0,Table1[[#This Row],[WHRS NET KW TOTAL]]-U620,"")</f>
        <v/>
      </c>
      <c r="Y621" s="6" t="b">
        <f>IF(AND(Table1[[#This Row],[WHRS KW RECOVERED PER DAY]]&lt;&gt;0,Table1[[#This Row],[WHRS RH]]&lt;&gt;0),ROUND(Table1[[#This Row],[WHRS KW RECOVERED PER DAY]]/Table1[[#This Row],[WHRS RH]],1))</f>
        <v>0</v>
      </c>
      <c r="Z621" s="8"/>
      <c r="AA621" s="1"/>
      <c r="AB621" s="1"/>
      <c r="AC621" s="1"/>
      <c r="AD621" s="1"/>
      <c r="AE621" s="1"/>
      <c r="AF621" s="1"/>
      <c r="AG621" s="1" t="str">
        <f t="shared" si="28"/>
        <v/>
      </c>
      <c r="AH621" s="1" t="str">
        <f t="shared" si="29"/>
        <v/>
      </c>
      <c r="AI621" s="1" t="str">
        <f>IF(AH621="", "", SUM($AH$4:AH621))</f>
        <v/>
      </c>
      <c r="AJ621" s="9"/>
    </row>
    <row r="622" spans="1:36">
      <c r="A622" s="7"/>
      <c r="X622" s="6" t="str">
        <f>IF(Table1[[#This Row],[WHRS NET KW TOTAL]]&lt;&gt;0,Table1[[#This Row],[WHRS NET KW TOTAL]]-U621,"")</f>
        <v/>
      </c>
      <c r="Y622" s="6" t="b">
        <f>IF(AND(Table1[[#This Row],[WHRS KW RECOVERED PER DAY]]&lt;&gt;0,Table1[[#This Row],[WHRS RH]]&lt;&gt;0),ROUND(Table1[[#This Row],[WHRS KW RECOVERED PER DAY]]/Table1[[#This Row],[WHRS RH]],1))</f>
        <v>0</v>
      </c>
      <c r="Z622" s="8"/>
      <c r="AA622" s="1"/>
      <c r="AB622" s="1"/>
      <c r="AC622" s="1"/>
      <c r="AD622" s="1"/>
      <c r="AE622" s="1"/>
      <c r="AF622" s="1"/>
      <c r="AG622" s="1" t="str">
        <f t="shared" si="28"/>
        <v/>
      </c>
      <c r="AH622" s="1" t="str">
        <f t="shared" si="29"/>
        <v/>
      </c>
      <c r="AI622" s="1" t="str">
        <f>IF(AH622="", "", SUM($AH$4:AH622))</f>
        <v/>
      </c>
      <c r="AJ622" s="9"/>
    </row>
    <row r="623" spans="1:36">
      <c r="A623" s="7"/>
      <c r="X623" s="6" t="str">
        <f>IF(Table1[[#This Row],[WHRS NET KW TOTAL]]&lt;&gt;0,Table1[[#This Row],[WHRS NET KW TOTAL]]-U622,"")</f>
        <v/>
      </c>
      <c r="Y623" s="6" t="b">
        <f>IF(AND(Table1[[#This Row],[WHRS KW RECOVERED PER DAY]]&lt;&gt;0,Table1[[#This Row],[WHRS RH]]&lt;&gt;0),ROUND(Table1[[#This Row],[WHRS KW RECOVERED PER DAY]]/Table1[[#This Row],[WHRS RH]],1))</f>
        <v>0</v>
      </c>
      <c r="Z623" s="8"/>
      <c r="AA623" s="1"/>
      <c r="AB623" s="1"/>
      <c r="AC623" s="1"/>
      <c r="AD623" s="1"/>
      <c r="AE623" s="1"/>
      <c r="AF623" s="1"/>
      <c r="AG623" s="1" t="str">
        <f t="shared" si="28"/>
        <v/>
      </c>
      <c r="AH623" s="1" t="str">
        <f t="shared" si="29"/>
        <v/>
      </c>
      <c r="AI623" s="1" t="str">
        <f>IF(AH623="", "", SUM($AH$4:AH623))</f>
        <v/>
      </c>
      <c r="AJ623" s="9"/>
    </row>
    <row r="624" spans="1:36">
      <c r="A624" s="7"/>
      <c r="X624" s="6" t="str">
        <f>IF(Table1[[#This Row],[WHRS NET KW TOTAL]]&lt;&gt;0,Table1[[#This Row],[WHRS NET KW TOTAL]]-U623,"")</f>
        <v/>
      </c>
      <c r="Y624" s="6" t="b">
        <f>IF(AND(Table1[[#This Row],[WHRS KW RECOVERED PER DAY]]&lt;&gt;0,Table1[[#This Row],[WHRS RH]]&lt;&gt;0),ROUND(Table1[[#This Row],[WHRS KW RECOVERED PER DAY]]/Table1[[#This Row],[WHRS RH]],1))</f>
        <v>0</v>
      </c>
      <c r="Z624" s="8"/>
      <c r="AA624" s="1"/>
      <c r="AB624" s="1"/>
      <c r="AC624" s="1"/>
      <c r="AD624" s="1"/>
      <c r="AE624" s="1"/>
      <c r="AF624" s="1"/>
      <c r="AG624" s="1" t="str">
        <f t="shared" si="28"/>
        <v/>
      </c>
      <c r="AH624" s="1" t="str">
        <f t="shared" si="29"/>
        <v/>
      </c>
      <c r="AI624" s="1" t="str">
        <f>IF(AH624="", "", SUM($AH$4:AH624))</f>
        <v/>
      </c>
      <c r="AJ624" s="9"/>
    </row>
    <row r="625" spans="1:36">
      <c r="A625" s="7"/>
      <c r="X625" s="6" t="str">
        <f>IF(Table1[[#This Row],[WHRS NET KW TOTAL]]&lt;&gt;0,Table1[[#This Row],[WHRS NET KW TOTAL]]-U624,"")</f>
        <v/>
      </c>
      <c r="Y625" s="6" t="b">
        <f>IF(AND(Table1[[#This Row],[WHRS KW RECOVERED PER DAY]]&lt;&gt;0,Table1[[#This Row],[WHRS RH]]&lt;&gt;0),ROUND(Table1[[#This Row],[WHRS KW RECOVERED PER DAY]]/Table1[[#This Row],[WHRS RH]],1))</f>
        <v>0</v>
      </c>
      <c r="Z625" s="8"/>
      <c r="AA625" s="1"/>
      <c r="AB625" s="1"/>
      <c r="AC625" s="1"/>
      <c r="AD625" s="1"/>
      <c r="AE625" s="1"/>
      <c r="AF625" s="1"/>
      <c r="AG625" s="1" t="str">
        <f t="shared" si="28"/>
        <v/>
      </c>
      <c r="AH625" s="1" t="str">
        <f t="shared" si="29"/>
        <v/>
      </c>
      <c r="AI625" s="1" t="str">
        <f>IF(AH625="", "", SUM($AH$4:AH625))</f>
        <v/>
      </c>
      <c r="AJ625" s="9"/>
    </row>
    <row r="626" spans="1:36">
      <c r="A626" s="7"/>
      <c r="X626" s="6" t="str">
        <f>IF(Table1[[#This Row],[WHRS NET KW TOTAL]]&lt;&gt;0,Table1[[#This Row],[WHRS NET KW TOTAL]]-U625,"")</f>
        <v/>
      </c>
      <c r="Y626" s="6" t="b">
        <f>IF(AND(Table1[[#This Row],[WHRS KW RECOVERED PER DAY]]&lt;&gt;0,Table1[[#This Row],[WHRS RH]]&lt;&gt;0),ROUND(Table1[[#This Row],[WHRS KW RECOVERED PER DAY]]/Table1[[#This Row],[WHRS RH]],1))</f>
        <v>0</v>
      </c>
      <c r="Z626" s="8"/>
      <c r="AA626" s="1"/>
      <c r="AB626" s="1"/>
      <c r="AC626" s="1"/>
      <c r="AD626" s="1"/>
      <c r="AE626" s="1"/>
      <c r="AF626" s="1"/>
      <c r="AG626" s="1" t="str">
        <f t="shared" si="28"/>
        <v/>
      </c>
      <c r="AH626" s="1" t="str">
        <f t="shared" si="29"/>
        <v/>
      </c>
      <c r="AI626" s="1" t="str">
        <f>IF(AH626="", "", SUM($AH$4:AH626))</f>
        <v/>
      </c>
      <c r="AJ626" s="9"/>
    </row>
    <row r="627" spans="1:36">
      <c r="A627" s="7"/>
      <c r="X627" s="6" t="str">
        <f>IF(Table1[[#This Row],[WHRS NET KW TOTAL]]&lt;&gt;0,Table1[[#This Row],[WHRS NET KW TOTAL]]-U626,"")</f>
        <v/>
      </c>
      <c r="Y627" s="6" t="b">
        <f>IF(AND(Table1[[#This Row],[WHRS KW RECOVERED PER DAY]]&lt;&gt;0,Table1[[#This Row],[WHRS RH]]&lt;&gt;0),ROUND(Table1[[#This Row],[WHRS KW RECOVERED PER DAY]]/Table1[[#This Row],[WHRS RH]],1))</f>
        <v>0</v>
      </c>
      <c r="Z627" s="8"/>
      <c r="AA627" s="1"/>
      <c r="AB627" s="1"/>
      <c r="AC627" s="1"/>
      <c r="AD627" s="1"/>
      <c r="AE627" s="1"/>
      <c r="AF627" s="1"/>
      <c r="AG627" s="1" t="str">
        <f t="shared" si="28"/>
        <v/>
      </c>
      <c r="AH627" s="1" t="str">
        <f t="shared" si="29"/>
        <v/>
      </c>
      <c r="AI627" s="1" t="str">
        <f>IF(AH627="", "", SUM($AH$4:AH627))</f>
        <v/>
      </c>
      <c r="AJ627" s="9"/>
    </row>
    <row r="628" spans="1:36">
      <c r="A628" s="7"/>
      <c r="X628" s="6" t="str">
        <f>IF(Table1[[#This Row],[WHRS NET KW TOTAL]]&lt;&gt;0,Table1[[#This Row],[WHRS NET KW TOTAL]]-U627,"")</f>
        <v/>
      </c>
      <c r="Y628" s="6" t="b">
        <f>IF(AND(Table1[[#This Row],[WHRS KW RECOVERED PER DAY]]&lt;&gt;0,Table1[[#This Row],[WHRS RH]]&lt;&gt;0),ROUND(Table1[[#This Row],[WHRS KW RECOVERED PER DAY]]/Table1[[#This Row],[WHRS RH]],1))</f>
        <v>0</v>
      </c>
      <c r="Z628" s="8"/>
      <c r="AA628" s="1"/>
      <c r="AB628" s="1"/>
      <c r="AC628" s="1"/>
      <c r="AD628" s="1"/>
      <c r="AE628" s="1"/>
      <c r="AF628" s="1"/>
      <c r="AG628" s="1" t="str">
        <f t="shared" si="28"/>
        <v/>
      </c>
      <c r="AH628" s="1" t="str">
        <f t="shared" si="29"/>
        <v/>
      </c>
      <c r="AI628" s="1" t="str">
        <f>IF(AH628="", "", SUM($AH$4:AH628))</f>
        <v/>
      </c>
      <c r="AJ628" s="9"/>
    </row>
    <row r="629" spans="1:36">
      <c r="A629" s="7"/>
      <c r="X629" s="6" t="str">
        <f>IF(Table1[[#This Row],[WHRS NET KW TOTAL]]&lt;&gt;0,Table1[[#This Row],[WHRS NET KW TOTAL]]-U628,"")</f>
        <v/>
      </c>
      <c r="Y629" s="6" t="b">
        <f>IF(AND(Table1[[#This Row],[WHRS KW RECOVERED PER DAY]]&lt;&gt;0,Table1[[#This Row],[WHRS RH]]&lt;&gt;0),ROUND(Table1[[#This Row],[WHRS KW RECOVERED PER DAY]]/Table1[[#This Row],[WHRS RH]],1))</f>
        <v>0</v>
      </c>
      <c r="Z629" s="8"/>
      <c r="AA629" s="1"/>
      <c r="AB629" s="1"/>
      <c r="AC629" s="1"/>
      <c r="AD629" s="1"/>
      <c r="AE629" s="1"/>
      <c r="AF629" s="1"/>
      <c r="AG629" s="1" t="str">
        <f t="shared" si="28"/>
        <v/>
      </c>
      <c r="AH629" s="1" t="str">
        <f t="shared" si="29"/>
        <v/>
      </c>
      <c r="AI629" s="1" t="str">
        <f>IF(AH629="", "", SUM($AH$4:AH629))</f>
        <v/>
      </c>
      <c r="AJ629" s="9"/>
    </row>
    <row r="630" spans="1:36">
      <c r="A630" s="7"/>
      <c r="X630" s="6" t="str">
        <f>IF(Table1[[#This Row],[WHRS NET KW TOTAL]]&lt;&gt;0,Table1[[#This Row],[WHRS NET KW TOTAL]]-U629,"")</f>
        <v/>
      </c>
      <c r="Y630" s="6" t="b">
        <f>IF(AND(Table1[[#This Row],[WHRS KW RECOVERED PER DAY]]&lt;&gt;0,Table1[[#This Row],[WHRS RH]]&lt;&gt;0),ROUND(Table1[[#This Row],[WHRS KW RECOVERED PER DAY]]/Table1[[#This Row],[WHRS RH]],1))</f>
        <v>0</v>
      </c>
      <c r="Z630" s="8"/>
      <c r="AA630" s="1"/>
      <c r="AB630" s="1"/>
      <c r="AC630" s="1"/>
      <c r="AD630" s="1"/>
      <c r="AE630" s="1"/>
      <c r="AF630" s="1"/>
      <c r="AG630" s="1" t="str">
        <f t="shared" si="28"/>
        <v/>
      </c>
      <c r="AH630" s="1" t="str">
        <f t="shared" si="29"/>
        <v/>
      </c>
      <c r="AI630" s="1" t="str">
        <f>IF(AH630="", "", SUM($AH$4:AH630))</f>
        <v/>
      </c>
      <c r="AJ630" s="9"/>
    </row>
    <row r="631" spans="1:36">
      <c r="A631" s="7"/>
      <c r="X631" s="6" t="str">
        <f>IF(Table1[[#This Row],[WHRS NET KW TOTAL]]&lt;&gt;0,Table1[[#This Row],[WHRS NET KW TOTAL]]-U630,"")</f>
        <v/>
      </c>
      <c r="Y631" s="6" t="b">
        <f>IF(AND(Table1[[#This Row],[WHRS KW RECOVERED PER DAY]]&lt;&gt;0,Table1[[#This Row],[WHRS RH]]&lt;&gt;0),ROUND(Table1[[#This Row],[WHRS KW RECOVERED PER DAY]]/Table1[[#This Row],[WHRS RH]],1))</f>
        <v>0</v>
      </c>
      <c r="Z631" s="8"/>
      <c r="AA631" s="1"/>
      <c r="AB631" s="1"/>
      <c r="AC631" s="1"/>
      <c r="AD631" s="1"/>
      <c r="AE631" s="1"/>
      <c r="AF631" s="1"/>
      <c r="AG631" s="1" t="str">
        <f t="shared" si="28"/>
        <v/>
      </c>
      <c r="AH631" s="1" t="str">
        <f t="shared" si="29"/>
        <v/>
      </c>
      <c r="AI631" s="1" t="str">
        <f>IF(AH631="", "", SUM($AH$4:AH631))</f>
        <v/>
      </c>
      <c r="AJ631" s="9"/>
    </row>
    <row r="632" spans="1:36">
      <c r="A632" s="7"/>
      <c r="X632" s="6" t="str">
        <f>IF(Table1[[#This Row],[WHRS NET KW TOTAL]]&lt;&gt;0,Table1[[#This Row],[WHRS NET KW TOTAL]]-U631,"")</f>
        <v/>
      </c>
      <c r="Y632" s="6" t="b">
        <f>IF(AND(Table1[[#This Row],[WHRS KW RECOVERED PER DAY]]&lt;&gt;0,Table1[[#This Row],[WHRS RH]]&lt;&gt;0),ROUND(Table1[[#This Row],[WHRS KW RECOVERED PER DAY]]/Table1[[#This Row],[WHRS RH]],1))</f>
        <v>0</v>
      </c>
      <c r="Z632" s="8"/>
      <c r="AA632" s="1"/>
      <c r="AB632" s="1"/>
      <c r="AC632" s="1"/>
      <c r="AD632" s="1"/>
      <c r="AE632" s="1"/>
      <c r="AF632" s="1"/>
      <c r="AG632" s="1" t="str">
        <f t="shared" si="28"/>
        <v/>
      </c>
      <c r="AH632" s="1" t="str">
        <f t="shared" si="29"/>
        <v/>
      </c>
      <c r="AI632" s="1" t="str">
        <f>IF(AH632="", "", SUM($AH$4:AH632))</f>
        <v/>
      </c>
      <c r="AJ632" s="9"/>
    </row>
    <row r="633" spans="1:36">
      <c r="A633" s="7"/>
      <c r="X633" s="6" t="str">
        <f>IF(Table1[[#This Row],[WHRS NET KW TOTAL]]&lt;&gt;0,Table1[[#This Row],[WHRS NET KW TOTAL]]-U632,"")</f>
        <v/>
      </c>
      <c r="Y633" s="6" t="b">
        <f>IF(AND(Table1[[#This Row],[WHRS KW RECOVERED PER DAY]]&lt;&gt;0,Table1[[#This Row],[WHRS RH]]&lt;&gt;0),ROUND(Table1[[#This Row],[WHRS KW RECOVERED PER DAY]]/Table1[[#This Row],[WHRS RH]],1))</f>
        <v>0</v>
      </c>
      <c r="Z633" s="8"/>
      <c r="AA633" s="1"/>
      <c r="AB633" s="1"/>
      <c r="AC633" s="1"/>
      <c r="AD633" s="1"/>
      <c r="AE633" s="1"/>
      <c r="AF633" s="1"/>
      <c r="AG633" s="1" t="str">
        <f t="shared" si="28"/>
        <v/>
      </c>
      <c r="AH633" s="1" t="str">
        <f t="shared" si="29"/>
        <v/>
      </c>
      <c r="AI633" s="1" t="str">
        <f>IF(AH633="", "", SUM($AH$4:AH633))</f>
        <v/>
      </c>
      <c r="AJ633" s="9"/>
    </row>
    <row r="634" spans="1:36">
      <c r="A634" s="7"/>
      <c r="X634" s="6" t="str">
        <f>IF(Table1[[#This Row],[WHRS NET KW TOTAL]]&lt;&gt;0,Table1[[#This Row],[WHRS NET KW TOTAL]]-U633,"")</f>
        <v/>
      </c>
      <c r="Y634" s="6" t="b">
        <f>IF(AND(Table1[[#This Row],[WHRS KW RECOVERED PER DAY]]&lt;&gt;0,Table1[[#This Row],[WHRS RH]]&lt;&gt;0),ROUND(Table1[[#This Row],[WHRS KW RECOVERED PER DAY]]/Table1[[#This Row],[WHRS RH]],1))</f>
        <v>0</v>
      </c>
      <c r="Z634" s="8"/>
      <c r="AA634" s="1"/>
      <c r="AB634" s="1"/>
      <c r="AC634" s="1"/>
      <c r="AD634" s="1"/>
      <c r="AE634" s="1"/>
      <c r="AF634" s="1"/>
      <c r="AG634" s="1" t="str">
        <f t="shared" si="28"/>
        <v/>
      </c>
      <c r="AH634" s="1" t="str">
        <f t="shared" si="29"/>
        <v/>
      </c>
      <c r="AI634" s="1" t="str">
        <f>IF(AH634="", "", SUM($AH$4:AH634))</f>
        <v/>
      </c>
      <c r="AJ634" s="9"/>
    </row>
    <row r="635" spans="1:36">
      <c r="A635" s="7"/>
      <c r="X635" s="6" t="str">
        <f>IF(Table1[[#This Row],[WHRS NET KW TOTAL]]&lt;&gt;0,Table1[[#This Row],[WHRS NET KW TOTAL]]-U634,"")</f>
        <v/>
      </c>
      <c r="Y635" s="6" t="b">
        <f>IF(AND(Table1[[#This Row],[WHRS KW RECOVERED PER DAY]]&lt;&gt;0,Table1[[#This Row],[WHRS RH]]&lt;&gt;0),ROUND(Table1[[#This Row],[WHRS KW RECOVERED PER DAY]]/Table1[[#This Row],[WHRS RH]],1))</f>
        <v>0</v>
      </c>
      <c r="Z635" s="8"/>
      <c r="AA635" s="1"/>
      <c r="AB635" s="1"/>
      <c r="AC635" s="1"/>
      <c r="AD635" s="1"/>
      <c r="AE635" s="1"/>
      <c r="AF635" s="1"/>
      <c r="AG635" s="1" t="str">
        <f t="shared" si="28"/>
        <v/>
      </c>
      <c r="AH635" s="1" t="str">
        <f t="shared" si="29"/>
        <v/>
      </c>
      <c r="AI635" s="1" t="str">
        <f>IF(AH635="", "", SUM($AH$4:AH635))</f>
        <v/>
      </c>
      <c r="AJ635" s="9"/>
    </row>
    <row r="636" spans="1:36">
      <c r="A636" s="7"/>
      <c r="X636" s="6" t="str">
        <f>IF(Table1[[#This Row],[WHRS NET KW TOTAL]]&lt;&gt;0,Table1[[#This Row],[WHRS NET KW TOTAL]]-U635,"")</f>
        <v/>
      </c>
      <c r="Y636" s="6" t="b">
        <f>IF(AND(Table1[[#This Row],[WHRS KW RECOVERED PER DAY]]&lt;&gt;0,Table1[[#This Row],[WHRS RH]]&lt;&gt;0),ROUND(Table1[[#This Row],[WHRS KW RECOVERED PER DAY]]/Table1[[#This Row],[WHRS RH]],1))</f>
        <v>0</v>
      </c>
      <c r="Z636" s="8"/>
      <c r="AA636" s="1"/>
      <c r="AB636" s="1"/>
      <c r="AC636" s="1"/>
      <c r="AD636" s="1"/>
      <c r="AE636" s="1"/>
      <c r="AF636" s="1"/>
      <c r="AG636" s="1" t="str">
        <f t="shared" si="28"/>
        <v/>
      </c>
      <c r="AH636" s="1" t="str">
        <f t="shared" si="29"/>
        <v/>
      </c>
      <c r="AI636" s="1" t="str">
        <f>IF(AH636="", "", SUM($AH$4:AH636))</f>
        <v/>
      </c>
      <c r="AJ636" s="9"/>
    </row>
    <row r="637" spans="1:36">
      <c r="A637" s="7"/>
      <c r="X637" s="6" t="str">
        <f>IF(Table1[[#This Row],[WHRS NET KW TOTAL]]&lt;&gt;0,Table1[[#This Row],[WHRS NET KW TOTAL]]-U636,"")</f>
        <v/>
      </c>
      <c r="Y637" s="6" t="b">
        <f>IF(AND(Table1[[#This Row],[WHRS KW RECOVERED PER DAY]]&lt;&gt;0,Table1[[#This Row],[WHRS RH]]&lt;&gt;0),ROUND(Table1[[#This Row],[WHRS KW RECOVERED PER DAY]]/Table1[[#This Row],[WHRS RH]],1))</f>
        <v>0</v>
      </c>
      <c r="Z637" s="8"/>
      <c r="AA637" s="1"/>
      <c r="AB637" s="1"/>
      <c r="AC637" s="1"/>
      <c r="AD637" s="1"/>
      <c r="AE637" s="1"/>
      <c r="AF637" s="1"/>
      <c r="AG637" s="1" t="str">
        <f t="shared" si="28"/>
        <v/>
      </c>
      <c r="AH637" s="1" t="str">
        <f t="shared" si="29"/>
        <v/>
      </c>
      <c r="AI637" s="1" t="str">
        <f>IF(AH637="", "", SUM($AH$4:AH637))</f>
        <v/>
      </c>
      <c r="AJ637" s="9"/>
    </row>
    <row r="638" spans="1:36">
      <c r="A638" s="7"/>
      <c r="X638" s="6" t="str">
        <f>IF(Table1[[#This Row],[WHRS NET KW TOTAL]]&lt;&gt;0,Table1[[#This Row],[WHRS NET KW TOTAL]]-U637,"")</f>
        <v/>
      </c>
      <c r="Y638" s="6" t="b">
        <f>IF(AND(Table1[[#This Row],[WHRS KW RECOVERED PER DAY]]&lt;&gt;0,Table1[[#This Row],[WHRS RH]]&lt;&gt;0),ROUND(Table1[[#This Row],[WHRS KW RECOVERED PER DAY]]/Table1[[#This Row],[WHRS RH]],1))</f>
        <v>0</v>
      </c>
      <c r="Z638" s="8"/>
      <c r="AA638" s="1"/>
      <c r="AB638" s="1"/>
      <c r="AC638" s="1"/>
      <c r="AD638" s="1"/>
      <c r="AE638" s="1"/>
      <c r="AF638" s="1"/>
      <c r="AG638" s="1" t="str">
        <f t="shared" si="28"/>
        <v/>
      </c>
      <c r="AH638" s="1" t="str">
        <f t="shared" si="29"/>
        <v/>
      </c>
      <c r="AI638" s="1" t="str">
        <f>IF(AH638="", "", SUM($AH$4:AH638))</f>
        <v/>
      </c>
      <c r="AJ638" s="9"/>
    </row>
    <row r="639" spans="1:36">
      <c r="A639" s="7"/>
      <c r="X639" s="6" t="str">
        <f>IF(Table1[[#This Row],[WHRS NET KW TOTAL]]&lt;&gt;0,Table1[[#This Row],[WHRS NET KW TOTAL]]-U638,"")</f>
        <v/>
      </c>
      <c r="Y639" s="6" t="b">
        <f>IF(AND(Table1[[#This Row],[WHRS KW RECOVERED PER DAY]]&lt;&gt;0,Table1[[#This Row],[WHRS RH]]&lt;&gt;0),ROUND(Table1[[#This Row],[WHRS KW RECOVERED PER DAY]]/Table1[[#This Row],[WHRS RH]],1))</f>
        <v>0</v>
      </c>
      <c r="Z639" s="8"/>
      <c r="AA639" s="1"/>
      <c r="AB639" s="1"/>
      <c r="AC639" s="1"/>
      <c r="AD639" s="1"/>
      <c r="AE639" s="1"/>
      <c r="AF639" s="1"/>
      <c r="AG639" s="1" t="str">
        <f t="shared" si="28"/>
        <v/>
      </c>
      <c r="AH639" s="1" t="str">
        <f t="shared" si="29"/>
        <v/>
      </c>
      <c r="AI639" s="1" t="str">
        <f>IF(AH639="", "", SUM($AH$4:AH639))</f>
        <v/>
      </c>
      <c r="AJ639" s="9"/>
    </row>
    <row r="640" spans="1:36">
      <c r="A640" s="7"/>
      <c r="X640" s="6" t="str">
        <f>IF(Table1[[#This Row],[WHRS NET KW TOTAL]]&lt;&gt;0,Table1[[#This Row],[WHRS NET KW TOTAL]]-U639,"")</f>
        <v/>
      </c>
      <c r="Y640" s="6" t="b">
        <f>IF(AND(Table1[[#This Row],[WHRS KW RECOVERED PER DAY]]&lt;&gt;0,Table1[[#This Row],[WHRS RH]]&lt;&gt;0),ROUND(Table1[[#This Row],[WHRS KW RECOVERED PER DAY]]/Table1[[#This Row],[WHRS RH]],1))</f>
        <v>0</v>
      </c>
      <c r="Z640" s="8"/>
      <c r="AA640" s="1"/>
      <c r="AB640" s="1"/>
      <c r="AC640" s="1"/>
      <c r="AD640" s="1"/>
      <c r="AE640" s="1"/>
      <c r="AF640" s="1"/>
      <c r="AG640" s="1" t="str">
        <f t="shared" si="28"/>
        <v/>
      </c>
      <c r="AH640" s="1" t="str">
        <f t="shared" si="29"/>
        <v/>
      </c>
      <c r="AI640" s="1" t="str">
        <f>IF(AH640="", "", SUM($AH$4:AH640))</f>
        <v/>
      </c>
      <c r="AJ640" s="9"/>
    </row>
    <row r="641" spans="1:36">
      <c r="A641" s="7"/>
      <c r="X641" s="6" t="str">
        <f>IF(Table1[[#This Row],[WHRS NET KW TOTAL]]&lt;&gt;0,Table1[[#This Row],[WHRS NET KW TOTAL]]-U640,"")</f>
        <v/>
      </c>
      <c r="Y641" s="6" t="b">
        <f>IF(AND(Table1[[#This Row],[WHRS KW RECOVERED PER DAY]]&lt;&gt;0,Table1[[#This Row],[WHRS RH]]&lt;&gt;0),ROUND(Table1[[#This Row],[WHRS KW RECOVERED PER DAY]]/Table1[[#This Row],[WHRS RH]],1))</f>
        <v>0</v>
      </c>
      <c r="Z641" s="8"/>
      <c r="AA641" s="1"/>
      <c r="AB641" s="1"/>
      <c r="AC641" s="1"/>
      <c r="AD641" s="1"/>
      <c r="AE641" s="1"/>
      <c r="AF641" s="1"/>
      <c r="AG641" s="1" t="str">
        <f t="shared" si="28"/>
        <v/>
      </c>
      <c r="AH641" s="1" t="str">
        <f t="shared" si="29"/>
        <v/>
      </c>
      <c r="AI641" s="1" t="str">
        <f>IF(AH641="", "", SUM($AH$4:AH641))</f>
        <v/>
      </c>
      <c r="AJ641" s="9"/>
    </row>
    <row r="642" spans="1:36">
      <c r="A642" s="7"/>
      <c r="X642" s="6" t="str">
        <f>IF(Table1[[#This Row],[WHRS NET KW TOTAL]]&lt;&gt;0,Table1[[#This Row],[WHRS NET KW TOTAL]]-U641,"")</f>
        <v/>
      </c>
      <c r="Y642" s="6" t="b">
        <f>IF(AND(Table1[[#This Row],[WHRS KW RECOVERED PER DAY]]&lt;&gt;0,Table1[[#This Row],[WHRS RH]]&lt;&gt;0),ROUND(Table1[[#This Row],[WHRS KW RECOVERED PER DAY]]/Table1[[#This Row],[WHRS RH]],1))</f>
        <v>0</v>
      </c>
      <c r="Z642" s="8"/>
      <c r="AA642" s="1"/>
      <c r="AB642" s="1"/>
      <c r="AC642" s="1"/>
      <c r="AD642" s="1"/>
      <c r="AE642" s="1"/>
      <c r="AF642" s="1"/>
      <c r="AG642" s="1" t="str">
        <f t="shared" si="28"/>
        <v/>
      </c>
      <c r="AH642" s="1" t="str">
        <f t="shared" si="29"/>
        <v/>
      </c>
      <c r="AI642" s="1" t="str">
        <f>IF(AH642="", "", SUM($AH$4:AH642))</f>
        <v/>
      </c>
      <c r="AJ642" s="9"/>
    </row>
    <row r="643" spans="1:36">
      <c r="A643" s="7"/>
      <c r="X643" s="6" t="str">
        <f>IF(Table1[[#This Row],[WHRS NET KW TOTAL]]&lt;&gt;0,Table1[[#This Row],[WHRS NET KW TOTAL]]-U642,"")</f>
        <v/>
      </c>
      <c r="Y643" s="6" t="b">
        <f>IF(AND(Table1[[#This Row],[WHRS KW RECOVERED PER DAY]]&lt;&gt;0,Table1[[#This Row],[WHRS RH]]&lt;&gt;0),ROUND(Table1[[#This Row],[WHRS KW RECOVERED PER DAY]]/Table1[[#This Row],[WHRS RH]],1))</f>
        <v>0</v>
      </c>
      <c r="Z643" s="8"/>
      <c r="AA643" s="1"/>
      <c r="AB643" s="1"/>
      <c r="AC643" s="1"/>
      <c r="AD643" s="1"/>
      <c r="AE643" s="1"/>
      <c r="AF643" s="1"/>
      <c r="AG643" s="1" t="str">
        <f t="shared" si="28"/>
        <v/>
      </c>
      <c r="AH643" s="1" t="str">
        <f t="shared" si="29"/>
        <v/>
      </c>
      <c r="AI643" s="1" t="str">
        <f>IF(AH643="", "", SUM($AH$4:AH643))</f>
        <v/>
      </c>
      <c r="AJ643" s="9"/>
    </row>
    <row r="644" spans="1:36">
      <c r="A644" s="7"/>
      <c r="X644" s="6" t="str">
        <f>IF(Table1[[#This Row],[WHRS NET KW TOTAL]]&lt;&gt;0,Table1[[#This Row],[WHRS NET KW TOTAL]]-U643,"")</f>
        <v/>
      </c>
      <c r="Y644" s="6" t="b">
        <f>IF(AND(Table1[[#This Row],[WHRS KW RECOVERED PER DAY]]&lt;&gt;0,Table1[[#This Row],[WHRS RH]]&lt;&gt;0),ROUND(Table1[[#This Row],[WHRS KW RECOVERED PER DAY]]/Table1[[#This Row],[WHRS RH]],1))</f>
        <v>0</v>
      </c>
      <c r="Z644" s="8"/>
      <c r="AA644" s="1"/>
      <c r="AB644" s="1"/>
      <c r="AC644" s="1"/>
      <c r="AD644" s="1"/>
      <c r="AE644" s="1"/>
      <c r="AF644" s="1"/>
      <c r="AG644" s="1" t="str">
        <f t="shared" si="28"/>
        <v/>
      </c>
      <c r="AH644" s="1" t="str">
        <f t="shared" si="29"/>
        <v/>
      </c>
      <c r="AI644" s="1" t="str">
        <f>IF(AH644="", "", SUM($AH$4:AH644))</f>
        <v/>
      </c>
      <c r="AJ644" s="9"/>
    </row>
    <row r="645" spans="1:36">
      <c r="A645" s="7"/>
      <c r="X645" s="6" t="str">
        <f>IF(Table1[[#This Row],[WHRS NET KW TOTAL]]&lt;&gt;0,Table1[[#This Row],[WHRS NET KW TOTAL]]-U644,"")</f>
        <v/>
      </c>
      <c r="Y645" s="6" t="b">
        <f>IF(AND(Table1[[#This Row],[WHRS KW RECOVERED PER DAY]]&lt;&gt;0,Table1[[#This Row],[WHRS RH]]&lt;&gt;0),ROUND(Table1[[#This Row],[WHRS KW RECOVERED PER DAY]]/Table1[[#This Row],[WHRS RH]],1))</f>
        <v>0</v>
      </c>
      <c r="Z645" s="8"/>
      <c r="AA645" s="1"/>
      <c r="AB645" s="1"/>
      <c r="AC645" s="1"/>
      <c r="AD645" s="1"/>
      <c r="AE645" s="1"/>
      <c r="AF645" s="1"/>
      <c r="AG645" s="1" t="str">
        <f t="shared" ref="AG645:AG708" si="30">IF(C645="", "", _xlfn.IFS(C645="LNG", 1345, C645="LSMGO", 1280, C645="VLSFO", 820, C645="HSFO", 635, TRUE, ""))</f>
        <v/>
      </c>
      <c r="AH645" s="1" t="str">
        <f t="shared" ref="AH645:AH708" si="31">IF(OR(W645="", AF645="", AG645=""), "", W645 * (AF645 / 1000000) * AG645)</f>
        <v/>
      </c>
      <c r="AI645" s="1" t="str">
        <f>IF(AH645="", "", SUM($AH$4:AH645))</f>
        <v/>
      </c>
      <c r="AJ645" s="9"/>
    </row>
    <row r="646" spans="1:36">
      <c r="A646" s="7"/>
      <c r="X646" s="6" t="str">
        <f>IF(Table1[[#This Row],[WHRS NET KW TOTAL]]&lt;&gt;0,Table1[[#This Row],[WHRS NET KW TOTAL]]-U645,"")</f>
        <v/>
      </c>
      <c r="Y646" s="6" t="b">
        <f>IF(AND(Table1[[#This Row],[WHRS KW RECOVERED PER DAY]]&lt;&gt;0,Table1[[#This Row],[WHRS RH]]&lt;&gt;0),ROUND(Table1[[#This Row],[WHRS KW RECOVERED PER DAY]]/Table1[[#This Row],[WHRS RH]],1))</f>
        <v>0</v>
      </c>
      <c r="Z646" s="8"/>
      <c r="AA646" s="1"/>
      <c r="AB646" s="1"/>
      <c r="AC646" s="1"/>
      <c r="AD646" s="1"/>
      <c r="AE646" s="1"/>
      <c r="AF646" s="1"/>
      <c r="AG646" s="1" t="str">
        <f t="shared" si="30"/>
        <v/>
      </c>
      <c r="AH646" s="1" t="str">
        <f t="shared" si="31"/>
        <v/>
      </c>
      <c r="AI646" s="1" t="str">
        <f>IF(AH646="", "", SUM($AH$4:AH646))</f>
        <v/>
      </c>
      <c r="AJ646" s="9"/>
    </row>
    <row r="647" spans="1:36">
      <c r="A647" s="7"/>
      <c r="X647" s="6" t="str">
        <f>IF(Table1[[#This Row],[WHRS NET KW TOTAL]]&lt;&gt;0,Table1[[#This Row],[WHRS NET KW TOTAL]]-U646,"")</f>
        <v/>
      </c>
      <c r="Y647" s="6" t="b">
        <f>IF(AND(Table1[[#This Row],[WHRS KW RECOVERED PER DAY]]&lt;&gt;0,Table1[[#This Row],[WHRS RH]]&lt;&gt;0),ROUND(Table1[[#This Row],[WHRS KW RECOVERED PER DAY]]/Table1[[#This Row],[WHRS RH]],1))</f>
        <v>0</v>
      </c>
      <c r="Z647" s="8"/>
      <c r="AA647" s="1"/>
      <c r="AB647" s="1"/>
      <c r="AC647" s="1"/>
      <c r="AD647" s="1"/>
      <c r="AE647" s="1"/>
      <c r="AF647" s="1"/>
      <c r="AG647" s="1" t="str">
        <f t="shared" si="30"/>
        <v/>
      </c>
      <c r="AH647" s="1" t="str">
        <f t="shared" si="31"/>
        <v/>
      </c>
      <c r="AI647" s="1" t="str">
        <f>IF(AH647="", "", SUM($AH$4:AH647))</f>
        <v/>
      </c>
      <c r="AJ647" s="9"/>
    </row>
    <row r="648" spans="1:36">
      <c r="A648" s="7"/>
      <c r="X648" s="6" t="str">
        <f>IF(Table1[[#This Row],[WHRS NET KW TOTAL]]&lt;&gt;0,Table1[[#This Row],[WHRS NET KW TOTAL]]-U647,"")</f>
        <v/>
      </c>
      <c r="Y648" s="6" t="b">
        <f>IF(AND(Table1[[#This Row],[WHRS KW RECOVERED PER DAY]]&lt;&gt;0,Table1[[#This Row],[WHRS RH]]&lt;&gt;0),ROUND(Table1[[#This Row],[WHRS KW RECOVERED PER DAY]]/Table1[[#This Row],[WHRS RH]],1))</f>
        <v>0</v>
      </c>
      <c r="Z648" s="8"/>
      <c r="AA648" s="1"/>
      <c r="AB648" s="1"/>
      <c r="AC648" s="1"/>
      <c r="AD648" s="1"/>
      <c r="AE648" s="1"/>
      <c r="AF648" s="1"/>
      <c r="AG648" s="1" t="str">
        <f t="shared" si="30"/>
        <v/>
      </c>
      <c r="AH648" s="1" t="str">
        <f t="shared" si="31"/>
        <v/>
      </c>
      <c r="AI648" s="1" t="str">
        <f>IF(AH648="", "", SUM($AH$4:AH648))</f>
        <v/>
      </c>
      <c r="AJ648" s="9"/>
    </row>
    <row r="649" spans="1:36">
      <c r="A649" s="7"/>
      <c r="X649" s="6" t="str">
        <f>IF(Table1[[#This Row],[WHRS NET KW TOTAL]]&lt;&gt;0,Table1[[#This Row],[WHRS NET KW TOTAL]]-U648,"")</f>
        <v/>
      </c>
      <c r="Y649" s="6" t="b">
        <f>IF(AND(Table1[[#This Row],[WHRS KW RECOVERED PER DAY]]&lt;&gt;0,Table1[[#This Row],[WHRS RH]]&lt;&gt;0),ROUND(Table1[[#This Row],[WHRS KW RECOVERED PER DAY]]/Table1[[#This Row],[WHRS RH]],1))</f>
        <v>0</v>
      </c>
      <c r="Z649" s="8"/>
      <c r="AA649" s="1"/>
      <c r="AB649" s="1"/>
      <c r="AC649" s="1"/>
      <c r="AD649" s="1"/>
      <c r="AE649" s="1"/>
      <c r="AF649" s="1"/>
      <c r="AG649" s="1" t="str">
        <f t="shared" si="30"/>
        <v/>
      </c>
      <c r="AH649" s="1" t="str">
        <f t="shared" si="31"/>
        <v/>
      </c>
      <c r="AI649" s="1" t="str">
        <f>IF(AH649="", "", SUM($AH$4:AH649))</f>
        <v/>
      </c>
      <c r="AJ649" s="9"/>
    </row>
    <row r="650" spans="1:36">
      <c r="A650" s="7"/>
      <c r="X650" s="6" t="str">
        <f>IF(Table1[[#This Row],[WHRS NET KW TOTAL]]&lt;&gt;0,Table1[[#This Row],[WHRS NET KW TOTAL]]-U649,"")</f>
        <v/>
      </c>
      <c r="Y650" s="6" t="b">
        <f>IF(AND(Table1[[#This Row],[WHRS KW RECOVERED PER DAY]]&lt;&gt;0,Table1[[#This Row],[WHRS RH]]&lt;&gt;0),ROUND(Table1[[#This Row],[WHRS KW RECOVERED PER DAY]]/Table1[[#This Row],[WHRS RH]],1))</f>
        <v>0</v>
      </c>
      <c r="Z650" s="8"/>
      <c r="AA650" s="1"/>
      <c r="AB650" s="1"/>
      <c r="AC650" s="1"/>
      <c r="AD650" s="1"/>
      <c r="AE650" s="1"/>
      <c r="AF650" s="1"/>
      <c r="AG650" s="1" t="str">
        <f t="shared" si="30"/>
        <v/>
      </c>
      <c r="AH650" s="1" t="str">
        <f t="shared" si="31"/>
        <v/>
      </c>
      <c r="AI650" s="1" t="str">
        <f>IF(AH650="", "", SUM($AH$4:AH650))</f>
        <v/>
      </c>
      <c r="AJ650" s="9"/>
    </row>
    <row r="651" spans="1:36">
      <c r="A651" s="7"/>
      <c r="X651" s="6" t="str">
        <f>IF(Table1[[#This Row],[WHRS NET KW TOTAL]]&lt;&gt;0,Table1[[#This Row],[WHRS NET KW TOTAL]]-U650,"")</f>
        <v/>
      </c>
      <c r="Y651" s="6" t="b">
        <f>IF(AND(Table1[[#This Row],[WHRS KW RECOVERED PER DAY]]&lt;&gt;0,Table1[[#This Row],[WHRS RH]]&lt;&gt;0),ROUND(Table1[[#This Row],[WHRS KW RECOVERED PER DAY]]/Table1[[#This Row],[WHRS RH]],1))</f>
        <v>0</v>
      </c>
      <c r="Z651" s="8"/>
      <c r="AA651" s="1"/>
      <c r="AB651" s="1"/>
      <c r="AC651" s="1"/>
      <c r="AD651" s="1"/>
      <c r="AE651" s="1"/>
      <c r="AF651" s="1"/>
      <c r="AG651" s="1" t="str">
        <f t="shared" si="30"/>
        <v/>
      </c>
      <c r="AH651" s="1" t="str">
        <f t="shared" si="31"/>
        <v/>
      </c>
      <c r="AI651" s="1" t="str">
        <f>IF(AH651="", "", SUM($AH$4:AH651))</f>
        <v/>
      </c>
      <c r="AJ651" s="9"/>
    </row>
    <row r="652" spans="1:36">
      <c r="A652" s="7"/>
      <c r="X652" s="6" t="str">
        <f>IF(Table1[[#This Row],[WHRS NET KW TOTAL]]&lt;&gt;0,Table1[[#This Row],[WHRS NET KW TOTAL]]-U651,"")</f>
        <v/>
      </c>
      <c r="Y652" s="6" t="b">
        <f>IF(AND(Table1[[#This Row],[WHRS KW RECOVERED PER DAY]]&lt;&gt;0,Table1[[#This Row],[WHRS RH]]&lt;&gt;0),ROUND(Table1[[#This Row],[WHRS KW RECOVERED PER DAY]]/Table1[[#This Row],[WHRS RH]],1))</f>
        <v>0</v>
      </c>
      <c r="Z652" s="8"/>
      <c r="AA652" s="1"/>
      <c r="AB652" s="1"/>
      <c r="AC652" s="1"/>
      <c r="AD652" s="1"/>
      <c r="AE652" s="1"/>
      <c r="AF652" s="1"/>
      <c r="AG652" s="1" t="str">
        <f t="shared" si="30"/>
        <v/>
      </c>
      <c r="AH652" s="1" t="str">
        <f t="shared" si="31"/>
        <v/>
      </c>
      <c r="AI652" s="1" t="str">
        <f>IF(AH652="", "", SUM($AH$4:AH652))</f>
        <v/>
      </c>
      <c r="AJ652" s="9"/>
    </row>
    <row r="653" spans="1:36">
      <c r="A653" s="7"/>
      <c r="X653" s="6" t="str">
        <f>IF(Table1[[#This Row],[WHRS NET KW TOTAL]]&lt;&gt;0,Table1[[#This Row],[WHRS NET KW TOTAL]]-U652,"")</f>
        <v/>
      </c>
      <c r="Y653" s="6" t="b">
        <f>IF(AND(Table1[[#This Row],[WHRS KW RECOVERED PER DAY]]&lt;&gt;0,Table1[[#This Row],[WHRS RH]]&lt;&gt;0),ROUND(Table1[[#This Row],[WHRS KW RECOVERED PER DAY]]/Table1[[#This Row],[WHRS RH]],1))</f>
        <v>0</v>
      </c>
      <c r="Z653" s="8"/>
      <c r="AA653" s="1"/>
      <c r="AB653" s="1"/>
      <c r="AC653" s="1"/>
      <c r="AD653" s="1"/>
      <c r="AE653" s="1"/>
      <c r="AF653" s="1"/>
      <c r="AG653" s="1" t="str">
        <f t="shared" si="30"/>
        <v/>
      </c>
      <c r="AH653" s="1" t="str">
        <f t="shared" si="31"/>
        <v/>
      </c>
      <c r="AI653" s="1" t="str">
        <f>IF(AH653="", "", SUM($AH$4:AH653))</f>
        <v/>
      </c>
      <c r="AJ653" s="9"/>
    </row>
    <row r="654" spans="1:36">
      <c r="A654" s="7"/>
      <c r="X654" s="6" t="str">
        <f>IF(Table1[[#This Row],[WHRS NET KW TOTAL]]&lt;&gt;0,Table1[[#This Row],[WHRS NET KW TOTAL]]-U653,"")</f>
        <v/>
      </c>
      <c r="Y654" s="6" t="b">
        <f>IF(AND(Table1[[#This Row],[WHRS KW RECOVERED PER DAY]]&lt;&gt;0,Table1[[#This Row],[WHRS RH]]&lt;&gt;0),ROUND(Table1[[#This Row],[WHRS KW RECOVERED PER DAY]]/Table1[[#This Row],[WHRS RH]],1))</f>
        <v>0</v>
      </c>
      <c r="Z654" s="8"/>
      <c r="AA654" s="1"/>
      <c r="AB654" s="1"/>
      <c r="AC654" s="1"/>
      <c r="AD654" s="1"/>
      <c r="AE654" s="1"/>
      <c r="AF654" s="1"/>
      <c r="AG654" s="1" t="str">
        <f t="shared" si="30"/>
        <v/>
      </c>
      <c r="AH654" s="1" t="str">
        <f t="shared" si="31"/>
        <v/>
      </c>
      <c r="AI654" s="1" t="str">
        <f>IF(AH654="", "", SUM($AH$4:AH654))</f>
        <v/>
      </c>
      <c r="AJ654" s="9"/>
    </row>
    <row r="655" spans="1:36">
      <c r="A655" s="7"/>
      <c r="X655" s="6" t="str">
        <f>IF(Table1[[#This Row],[WHRS NET KW TOTAL]]&lt;&gt;0,Table1[[#This Row],[WHRS NET KW TOTAL]]-U654,"")</f>
        <v/>
      </c>
      <c r="Y655" s="6" t="b">
        <f>IF(AND(Table1[[#This Row],[WHRS KW RECOVERED PER DAY]]&lt;&gt;0,Table1[[#This Row],[WHRS RH]]&lt;&gt;0),ROUND(Table1[[#This Row],[WHRS KW RECOVERED PER DAY]]/Table1[[#This Row],[WHRS RH]],1))</f>
        <v>0</v>
      </c>
      <c r="Z655" s="8"/>
      <c r="AA655" s="1"/>
      <c r="AB655" s="1"/>
      <c r="AC655" s="1"/>
      <c r="AD655" s="1"/>
      <c r="AE655" s="1"/>
      <c r="AF655" s="1"/>
      <c r="AG655" s="1" t="str">
        <f t="shared" si="30"/>
        <v/>
      </c>
      <c r="AH655" s="1" t="str">
        <f t="shared" si="31"/>
        <v/>
      </c>
      <c r="AI655" s="1" t="str">
        <f>IF(AH655="", "", SUM($AH$4:AH655))</f>
        <v/>
      </c>
      <c r="AJ655" s="9"/>
    </row>
    <row r="656" spans="1:36">
      <c r="A656" s="7"/>
      <c r="X656" s="6" t="str">
        <f>IF(Table1[[#This Row],[WHRS NET KW TOTAL]]&lt;&gt;0,Table1[[#This Row],[WHRS NET KW TOTAL]]-U655,"")</f>
        <v/>
      </c>
      <c r="Y656" s="6" t="b">
        <f>IF(AND(Table1[[#This Row],[WHRS KW RECOVERED PER DAY]]&lt;&gt;0,Table1[[#This Row],[WHRS RH]]&lt;&gt;0),ROUND(Table1[[#This Row],[WHRS KW RECOVERED PER DAY]]/Table1[[#This Row],[WHRS RH]],1))</f>
        <v>0</v>
      </c>
      <c r="Z656" s="8"/>
      <c r="AA656" s="1"/>
      <c r="AB656" s="1"/>
      <c r="AC656" s="1"/>
      <c r="AD656" s="1"/>
      <c r="AE656" s="1"/>
      <c r="AF656" s="1"/>
      <c r="AG656" s="1" t="str">
        <f t="shared" si="30"/>
        <v/>
      </c>
      <c r="AH656" s="1" t="str">
        <f t="shared" si="31"/>
        <v/>
      </c>
      <c r="AI656" s="1" t="str">
        <f>IF(AH656="", "", SUM($AH$4:AH656))</f>
        <v/>
      </c>
      <c r="AJ656" s="9"/>
    </row>
    <row r="657" spans="1:36">
      <c r="A657" s="7"/>
      <c r="X657" s="6" t="str">
        <f>IF(Table1[[#This Row],[WHRS NET KW TOTAL]]&lt;&gt;0,Table1[[#This Row],[WHRS NET KW TOTAL]]-U656,"")</f>
        <v/>
      </c>
      <c r="Y657" s="6" t="b">
        <f>IF(AND(Table1[[#This Row],[WHRS KW RECOVERED PER DAY]]&lt;&gt;0,Table1[[#This Row],[WHRS RH]]&lt;&gt;0),ROUND(Table1[[#This Row],[WHRS KW RECOVERED PER DAY]]/Table1[[#This Row],[WHRS RH]],1))</f>
        <v>0</v>
      </c>
      <c r="Z657" s="8"/>
      <c r="AA657" s="1"/>
      <c r="AB657" s="1"/>
      <c r="AC657" s="1"/>
      <c r="AD657" s="1"/>
      <c r="AE657" s="1"/>
      <c r="AF657" s="1"/>
      <c r="AG657" s="1" t="str">
        <f t="shared" si="30"/>
        <v/>
      </c>
      <c r="AH657" s="1" t="str">
        <f t="shared" si="31"/>
        <v/>
      </c>
      <c r="AI657" s="1" t="str">
        <f>IF(AH657="", "", SUM($AH$4:AH657))</f>
        <v/>
      </c>
      <c r="AJ657" s="9"/>
    </row>
    <row r="658" spans="1:36">
      <c r="A658" s="7"/>
      <c r="X658" s="6" t="str">
        <f>IF(Table1[[#This Row],[WHRS NET KW TOTAL]]&lt;&gt;0,Table1[[#This Row],[WHRS NET KW TOTAL]]-U657,"")</f>
        <v/>
      </c>
      <c r="Y658" s="6" t="b">
        <f>IF(AND(Table1[[#This Row],[WHRS KW RECOVERED PER DAY]]&lt;&gt;0,Table1[[#This Row],[WHRS RH]]&lt;&gt;0),ROUND(Table1[[#This Row],[WHRS KW RECOVERED PER DAY]]/Table1[[#This Row],[WHRS RH]],1))</f>
        <v>0</v>
      </c>
      <c r="Z658" s="8"/>
      <c r="AA658" s="1"/>
      <c r="AB658" s="1"/>
      <c r="AC658" s="1"/>
      <c r="AD658" s="1"/>
      <c r="AE658" s="1"/>
      <c r="AF658" s="1"/>
      <c r="AG658" s="1" t="str">
        <f t="shared" si="30"/>
        <v/>
      </c>
      <c r="AH658" s="1" t="str">
        <f t="shared" si="31"/>
        <v/>
      </c>
      <c r="AI658" s="1" t="str">
        <f>IF(AH658="", "", SUM($AH$4:AH658))</f>
        <v/>
      </c>
      <c r="AJ658" s="9"/>
    </row>
    <row r="659" spans="1:36">
      <c r="A659" s="7"/>
      <c r="X659" s="6" t="str">
        <f>IF(Table1[[#This Row],[WHRS NET KW TOTAL]]&lt;&gt;0,Table1[[#This Row],[WHRS NET KW TOTAL]]-U658,"")</f>
        <v/>
      </c>
      <c r="Y659" s="6" t="b">
        <f>IF(AND(Table1[[#This Row],[WHRS KW RECOVERED PER DAY]]&lt;&gt;0,Table1[[#This Row],[WHRS RH]]&lt;&gt;0),ROUND(Table1[[#This Row],[WHRS KW RECOVERED PER DAY]]/Table1[[#This Row],[WHRS RH]],1))</f>
        <v>0</v>
      </c>
      <c r="Z659" s="8"/>
      <c r="AA659" s="1"/>
      <c r="AB659" s="1"/>
      <c r="AC659" s="1"/>
      <c r="AD659" s="1"/>
      <c r="AE659" s="1"/>
      <c r="AF659" s="1"/>
      <c r="AG659" s="1" t="str">
        <f t="shared" si="30"/>
        <v/>
      </c>
      <c r="AH659" s="1" t="str">
        <f t="shared" si="31"/>
        <v/>
      </c>
      <c r="AI659" s="1" t="str">
        <f>IF(AH659="", "", SUM($AH$4:AH659))</f>
        <v/>
      </c>
      <c r="AJ659" s="9"/>
    </row>
    <row r="660" spans="1:36">
      <c r="A660" s="7"/>
      <c r="X660" s="6" t="str">
        <f>IF(Table1[[#This Row],[WHRS NET KW TOTAL]]&lt;&gt;0,Table1[[#This Row],[WHRS NET KW TOTAL]]-U659,"")</f>
        <v/>
      </c>
      <c r="Y660" s="6" t="b">
        <f>IF(AND(Table1[[#This Row],[WHRS KW RECOVERED PER DAY]]&lt;&gt;0,Table1[[#This Row],[WHRS RH]]&lt;&gt;0),ROUND(Table1[[#This Row],[WHRS KW RECOVERED PER DAY]]/Table1[[#This Row],[WHRS RH]],1))</f>
        <v>0</v>
      </c>
      <c r="Z660" s="8"/>
      <c r="AA660" s="1"/>
      <c r="AB660" s="1"/>
      <c r="AC660" s="1"/>
      <c r="AD660" s="1"/>
      <c r="AE660" s="1"/>
      <c r="AF660" s="1"/>
      <c r="AG660" s="1" t="str">
        <f t="shared" si="30"/>
        <v/>
      </c>
      <c r="AH660" s="1" t="str">
        <f t="shared" si="31"/>
        <v/>
      </c>
      <c r="AI660" s="1" t="str">
        <f>IF(AH660="", "", SUM($AH$4:AH660))</f>
        <v/>
      </c>
      <c r="AJ660" s="9"/>
    </row>
    <row r="661" spans="1:36">
      <c r="A661" s="7"/>
      <c r="X661" s="6" t="str">
        <f>IF(Table1[[#This Row],[WHRS NET KW TOTAL]]&lt;&gt;0,Table1[[#This Row],[WHRS NET KW TOTAL]]-U660,"")</f>
        <v/>
      </c>
      <c r="Y661" s="6" t="b">
        <f>IF(AND(Table1[[#This Row],[WHRS KW RECOVERED PER DAY]]&lt;&gt;0,Table1[[#This Row],[WHRS RH]]&lt;&gt;0),ROUND(Table1[[#This Row],[WHRS KW RECOVERED PER DAY]]/Table1[[#This Row],[WHRS RH]],1))</f>
        <v>0</v>
      </c>
      <c r="Z661" s="8"/>
      <c r="AA661" s="1"/>
      <c r="AB661" s="1"/>
      <c r="AC661" s="1"/>
      <c r="AD661" s="1"/>
      <c r="AE661" s="1"/>
      <c r="AF661" s="1"/>
      <c r="AG661" s="1" t="str">
        <f t="shared" si="30"/>
        <v/>
      </c>
      <c r="AH661" s="1" t="str">
        <f t="shared" si="31"/>
        <v/>
      </c>
      <c r="AI661" s="1" t="str">
        <f>IF(AH661="", "", SUM($AH$4:AH661))</f>
        <v/>
      </c>
      <c r="AJ661" s="9"/>
    </row>
    <row r="662" spans="1:36">
      <c r="A662" s="7"/>
      <c r="X662" s="6" t="str">
        <f>IF(Table1[[#This Row],[WHRS NET KW TOTAL]]&lt;&gt;0,Table1[[#This Row],[WHRS NET KW TOTAL]]-U661,"")</f>
        <v/>
      </c>
      <c r="Y662" s="6" t="b">
        <f>IF(AND(Table1[[#This Row],[WHRS KW RECOVERED PER DAY]]&lt;&gt;0,Table1[[#This Row],[WHRS RH]]&lt;&gt;0),ROUND(Table1[[#This Row],[WHRS KW RECOVERED PER DAY]]/Table1[[#This Row],[WHRS RH]],1))</f>
        <v>0</v>
      </c>
      <c r="Z662" s="8"/>
      <c r="AA662" s="1"/>
      <c r="AB662" s="1"/>
      <c r="AC662" s="1"/>
      <c r="AD662" s="1"/>
      <c r="AE662" s="1"/>
      <c r="AF662" s="1"/>
      <c r="AG662" s="1" t="str">
        <f t="shared" si="30"/>
        <v/>
      </c>
      <c r="AH662" s="1" t="str">
        <f t="shared" si="31"/>
        <v/>
      </c>
      <c r="AI662" s="1" t="str">
        <f>IF(AH662="", "", SUM($AH$4:AH662))</f>
        <v/>
      </c>
      <c r="AJ662" s="9"/>
    </row>
    <row r="663" spans="1:36">
      <c r="A663" s="7"/>
      <c r="X663" s="6" t="str">
        <f>IF(Table1[[#This Row],[WHRS NET KW TOTAL]]&lt;&gt;0,Table1[[#This Row],[WHRS NET KW TOTAL]]-U662,"")</f>
        <v/>
      </c>
      <c r="Y663" s="6" t="b">
        <f>IF(AND(Table1[[#This Row],[WHRS KW RECOVERED PER DAY]]&lt;&gt;0,Table1[[#This Row],[WHRS RH]]&lt;&gt;0),ROUND(Table1[[#This Row],[WHRS KW RECOVERED PER DAY]]/Table1[[#This Row],[WHRS RH]],1))</f>
        <v>0</v>
      </c>
      <c r="Z663" s="8"/>
      <c r="AA663" s="1"/>
      <c r="AB663" s="1"/>
      <c r="AC663" s="1"/>
      <c r="AD663" s="1"/>
      <c r="AE663" s="1"/>
      <c r="AF663" s="1"/>
      <c r="AG663" s="1" t="str">
        <f t="shared" si="30"/>
        <v/>
      </c>
      <c r="AH663" s="1" t="str">
        <f t="shared" si="31"/>
        <v/>
      </c>
      <c r="AI663" s="1" t="str">
        <f>IF(AH663="", "", SUM($AH$4:AH663))</f>
        <v/>
      </c>
      <c r="AJ663" s="9"/>
    </row>
    <row r="664" spans="1:36">
      <c r="A664" s="7"/>
      <c r="X664" s="6" t="str">
        <f>IF(Table1[[#This Row],[WHRS NET KW TOTAL]]&lt;&gt;0,Table1[[#This Row],[WHRS NET KW TOTAL]]-U663,"")</f>
        <v/>
      </c>
      <c r="Y664" s="6" t="b">
        <f>IF(AND(Table1[[#This Row],[WHRS KW RECOVERED PER DAY]]&lt;&gt;0,Table1[[#This Row],[WHRS RH]]&lt;&gt;0),ROUND(Table1[[#This Row],[WHRS KW RECOVERED PER DAY]]/Table1[[#This Row],[WHRS RH]],1))</f>
        <v>0</v>
      </c>
      <c r="Z664" s="8"/>
      <c r="AA664" s="1"/>
      <c r="AB664" s="1"/>
      <c r="AC664" s="1"/>
      <c r="AD664" s="1"/>
      <c r="AE664" s="1"/>
      <c r="AF664" s="1"/>
      <c r="AG664" s="1" t="str">
        <f t="shared" si="30"/>
        <v/>
      </c>
      <c r="AH664" s="1" t="str">
        <f t="shared" si="31"/>
        <v/>
      </c>
      <c r="AI664" s="1" t="str">
        <f>IF(AH664="", "", SUM($AH$4:AH664))</f>
        <v/>
      </c>
      <c r="AJ664" s="9"/>
    </row>
    <row r="665" spans="1:36">
      <c r="A665" s="7"/>
      <c r="X665" s="6" t="str">
        <f>IF(Table1[[#This Row],[WHRS NET KW TOTAL]]&lt;&gt;0,Table1[[#This Row],[WHRS NET KW TOTAL]]-U664,"")</f>
        <v/>
      </c>
      <c r="Y665" s="6" t="b">
        <f>IF(AND(Table1[[#This Row],[WHRS KW RECOVERED PER DAY]]&lt;&gt;0,Table1[[#This Row],[WHRS RH]]&lt;&gt;0),ROUND(Table1[[#This Row],[WHRS KW RECOVERED PER DAY]]/Table1[[#This Row],[WHRS RH]],1))</f>
        <v>0</v>
      </c>
      <c r="Z665" s="8"/>
      <c r="AA665" s="1"/>
      <c r="AB665" s="1"/>
      <c r="AC665" s="1"/>
      <c r="AD665" s="1"/>
      <c r="AE665" s="1"/>
      <c r="AF665" s="1"/>
      <c r="AG665" s="1" t="str">
        <f t="shared" si="30"/>
        <v/>
      </c>
      <c r="AH665" s="1" t="str">
        <f t="shared" si="31"/>
        <v/>
      </c>
      <c r="AI665" s="1" t="str">
        <f>IF(AH665="", "", SUM($AH$4:AH665))</f>
        <v/>
      </c>
      <c r="AJ665" s="9"/>
    </row>
    <row r="666" spans="1:36">
      <c r="A666" s="7"/>
      <c r="X666" s="6" t="str">
        <f>IF(Table1[[#This Row],[WHRS NET KW TOTAL]]&lt;&gt;0,Table1[[#This Row],[WHRS NET KW TOTAL]]-U665,"")</f>
        <v/>
      </c>
      <c r="Y666" s="6" t="b">
        <f>IF(AND(Table1[[#This Row],[WHRS KW RECOVERED PER DAY]]&lt;&gt;0,Table1[[#This Row],[WHRS RH]]&lt;&gt;0),ROUND(Table1[[#This Row],[WHRS KW RECOVERED PER DAY]]/Table1[[#This Row],[WHRS RH]],1))</f>
        <v>0</v>
      </c>
      <c r="Z666" s="8"/>
      <c r="AA666" s="1"/>
      <c r="AB666" s="1"/>
      <c r="AC666" s="1"/>
      <c r="AD666" s="1"/>
      <c r="AE666" s="1"/>
      <c r="AF666" s="1"/>
      <c r="AG666" s="1" t="str">
        <f t="shared" si="30"/>
        <v/>
      </c>
      <c r="AH666" s="1" t="str">
        <f t="shared" si="31"/>
        <v/>
      </c>
      <c r="AI666" s="1" t="str">
        <f>IF(AH666="", "", SUM($AH$4:AH666))</f>
        <v/>
      </c>
      <c r="AJ666" s="9"/>
    </row>
    <row r="667" spans="1:36">
      <c r="A667" s="7"/>
      <c r="X667" s="6" t="str">
        <f>IF(Table1[[#This Row],[WHRS NET KW TOTAL]]&lt;&gt;0,Table1[[#This Row],[WHRS NET KW TOTAL]]-U666,"")</f>
        <v/>
      </c>
      <c r="Y667" s="6" t="b">
        <f>IF(AND(Table1[[#This Row],[WHRS KW RECOVERED PER DAY]]&lt;&gt;0,Table1[[#This Row],[WHRS RH]]&lt;&gt;0),ROUND(Table1[[#This Row],[WHRS KW RECOVERED PER DAY]]/Table1[[#This Row],[WHRS RH]],1))</f>
        <v>0</v>
      </c>
      <c r="Z667" s="8"/>
      <c r="AA667" s="1"/>
      <c r="AB667" s="1"/>
      <c r="AC667" s="1"/>
      <c r="AD667" s="1"/>
      <c r="AE667" s="1"/>
      <c r="AF667" s="1"/>
      <c r="AG667" s="1" t="str">
        <f t="shared" si="30"/>
        <v/>
      </c>
      <c r="AH667" s="1" t="str">
        <f t="shared" si="31"/>
        <v/>
      </c>
      <c r="AI667" s="1" t="str">
        <f>IF(AH667="", "", SUM($AH$4:AH667))</f>
        <v/>
      </c>
      <c r="AJ667" s="9"/>
    </row>
    <row r="668" spans="1:36">
      <c r="A668" s="7"/>
      <c r="X668" s="6" t="str">
        <f>IF(Table1[[#This Row],[WHRS NET KW TOTAL]]&lt;&gt;0,Table1[[#This Row],[WHRS NET KW TOTAL]]-U667,"")</f>
        <v/>
      </c>
      <c r="Y668" s="6" t="b">
        <f>IF(AND(Table1[[#This Row],[WHRS KW RECOVERED PER DAY]]&lt;&gt;0,Table1[[#This Row],[WHRS RH]]&lt;&gt;0),ROUND(Table1[[#This Row],[WHRS KW RECOVERED PER DAY]]/Table1[[#This Row],[WHRS RH]],1))</f>
        <v>0</v>
      </c>
      <c r="Z668" s="8"/>
      <c r="AA668" s="1"/>
      <c r="AB668" s="1"/>
      <c r="AC668" s="1"/>
      <c r="AD668" s="1"/>
      <c r="AE668" s="1"/>
      <c r="AF668" s="1"/>
      <c r="AG668" s="1" t="str">
        <f t="shared" si="30"/>
        <v/>
      </c>
      <c r="AH668" s="1" t="str">
        <f t="shared" si="31"/>
        <v/>
      </c>
      <c r="AI668" s="1" t="str">
        <f>IF(AH668="", "", SUM($AH$4:AH668))</f>
        <v/>
      </c>
      <c r="AJ668" s="9"/>
    </row>
    <row r="669" spans="1:36">
      <c r="A669" s="7"/>
      <c r="X669" s="6" t="str">
        <f>IF(Table1[[#This Row],[WHRS NET KW TOTAL]]&lt;&gt;0,Table1[[#This Row],[WHRS NET KW TOTAL]]-U668,"")</f>
        <v/>
      </c>
      <c r="Y669" s="6" t="b">
        <f>IF(AND(Table1[[#This Row],[WHRS KW RECOVERED PER DAY]]&lt;&gt;0,Table1[[#This Row],[WHRS RH]]&lt;&gt;0),ROUND(Table1[[#This Row],[WHRS KW RECOVERED PER DAY]]/Table1[[#This Row],[WHRS RH]],1))</f>
        <v>0</v>
      </c>
      <c r="Z669" s="8"/>
      <c r="AA669" s="1"/>
      <c r="AB669" s="1"/>
      <c r="AC669" s="1"/>
      <c r="AD669" s="1"/>
      <c r="AE669" s="1"/>
      <c r="AF669" s="1"/>
      <c r="AG669" s="1" t="str">
        <f t="shared" si="30"/>
        <v/>
      </c>
      <c r="AH669" s="1" t="str">
        <f t="shared" si="31"/>
        <v/>
      </c>
      <c r="AI669" s="1" t="str">
        <f>IF(AH669="", "", SUM($AH$4:AH669))</f>
        <v/>
      </c>
      <c r="AJ669" s="9"/>
    </row>
    <row r="670" spans="1:36">
      <c r="A670" s="7"/>
      <c r="X670" s="6" t="str">
        <f>IF(Table1[[#This Row],[WHRS NET KW TOTAL]]&lt;&gt;0,Table1[[#This Row],[WHRS NET KW TOTAL]]-U669,"")</f>
        <v/>
      </c>
      <c r="Y670" s="6" t="b">
        <f>IF(AND(Table1[[#This Row],[WHRS KW RECOVERED PER DAY]]&lt;&gt;0,Table1[[#This Row],[WHRS RH]]&lt;&gt;0),ROUND(Table1[[#This Row],[WHRS KW RECOVERED PER DAY]]/Table1[[#This Row],[WHRS RH]],1))</f>
        <v>0</v>
      </c>
      <c r="Z670" s="8"/>
      <c r="AA670" s="1"/>
      <c r="AB670" s="1"/>
      <c r="AC670" s="1"/>
      <c r="AD670" s="1"/>
      <c r="AE670" s="1"/>
      <c r="AF670" s="1"/>
      <c r="AG670" s="1" t="str">
        <f t="shared" si="30"/>
        <v/>
      </c>
      <c r="AH670" s="1" t="str">
        <f t="shared" si="31"/>
        <v/>
      </c>
      <c r="AI670" s="1" t="str">
        <f>IF(AH670="", "", SUM($AH$4:AH670))</f>
        <v/>
      </c>
      <c r="AJ670" s="9"/>
    </row>
    <row r="671" spans="1:36">
      <c r="A671" s="7"/>
      <c r="X671" s="6" t="str">
        <f>IF(Table1[[#This Row],[WHRS NET KW TOTAL]]&lt;&gt;0,Table1[[#This Row],[WHRS NET KW TOTAL]]-U670,"")</f>
        <v/>
      </c>
      <c r="Y671" s="6" t="b">
        <f>IF(AND(Table1[[#This Row],[WHRS KW RECOVERED PER DAY]]&lt;&gt;0,Table1[[#This Row],[WHRS RH]]&lt;&gt;0),ROUND(Table1[[#This Row],[WHRS KW RECOVERED PER DAY]]/Table1[[#This Row],[WHRS RH]],1))</f>
        <v>0</v>
      </c>
      <c r="Z671" s="8"/>
      <c r="AA671" s="1"/>
      <c r="AB671" s="1"/>
      <c r="AC671" s="1"/>
      <c r="AD671" s="1"/>
      <c r="AE671" s="1"/>
      <c r="AF671" s="1"/>
      <c r="AG671" s="1" t="str">
        <f t="shared" si="30"/>
        <v/>
      </c>
      <c r="AH671" s="1" t="str">
        <f t="shared" si="31"/>
        <v/>
      </c>
      <c r="AI671" s="1" t="str">
        <f>IF(AH671="", "", SUM($AH$4:AH671))</f>
        <v/>
      </c>
      <c r="AJ671" s="9"/>
    </row>
    <row r="672" spans="1:36">
      <c r="A672" s="7"/>
      <c r="X672" s="6" t="str">
        <f>IF(Table1[[#This Row],[WHRS NET KW TOTAL]]&lt;&gt;0,Table1[[#This Row],[WHRS NET KW TOTAL]]-U671,"")</f>
        <v/>
      </c>
      <c r="Y672" s="6" t="b">
        <f>IF(AND(Table1[[#This Row],[WHRS KW RECOVERED PER DAY]]&lt;&gt;0,Table1[[#This Row],[WHRS RH]]&lt;&gt;0),ROUND(Table1[[#This Row],[WHRS KW RECOVERED PER DAY]]/Table1[[#This Row],[WHRS RH]],1))</f>
        <v>0</v>
      </c>
      <c r="Z672" s="8"/>
      <c r="AA672" s="1"/>
      <c r="AB672" s="1"/>
      <c r="AC672" s="1"/>
      <c r="AD672" s="1"/>
      <c r="AE672" s="1"/>
      <c r="AF672" s="1"/>
      <c r="AG672" s="1" t="str">
        <f t="shared" si="30"/>
        <v/>
      </c>
      <c r="AH672" s="1" t="str">
        <f t="shared" si="31"/>
        <v/>
      </c>
      <c r="AI672" s="1" t="str">
        <f>IF(AH672="", "", SUM($AH$4:AH672))</f>
        <v/>
      </c>
      <c r="AJ672" s="9"/>
    </row>
    <row r="673" spans="1:36">
      <c r="A673" s="7"/>
      <c r="X673" s="6" t="str">
        <f>IF(Table1[[#This Row],[WHRS NET KW TOTAL]]&lt;&gt;0,Table1[[#This Row],[WHRS NET KW TOTAL]]-U672,"")</f>
        <v/>
      </c>
      <c r="Y673" s="6" t="b">
        <f>IF(AND(Table1[[#This Row],[WHRS KW RECOVERED PER DAY]]&lt;&gt;0,Table1[[#This Row],[WHRS RH]]&lt;&gt;0),ROUND(Table1[[#This Row],[WHRS KW RECOVERED PER DAY]]/Table1[[#This Row],[WHRS RH]],1))</f>
        <v>0</v>
      </c>
      <c r="Z673" s="8"/>
      <c r="AA673" s="1"/>
      <c r="AB673" s="1"/>
      <c r="AC673" s="1"/>
      <c r="AD673" s="1"/>
      <c r="AE673" s="1"/>
      <c r="AF673" s="1"/>
      <c r="AG673" s="1" t="str">
        <f t="shared" si="30"/>
        <v/>
      </c>
      <c r="AH673" s="1" t="str">
        <f t="shared" si="31"/>
        <v/>
      </c>
      <c r="AI673" s="1" t="str">
        <f>IF(AH673="", "", SUM($AH$4:AH673))</f>
        <v/>
      </c>
      <c r="AJ673" s="9"/>
    </row>
    <row r="674" spans="1:36">
      <c r="A674" s="7"/>
      <c r="X674" s="6" t="str">
        <f>IF(Table1[[#This Row],[WHRS NET KW TOTAL]]&lt;&gt;0,Table1[[#This Row],[WHRS NET KW TOTAL]]-U673,"")</f>
        <v/>
      </c>
      <c r="Y674" s="6" t="b">
        <f>IF(AND(Table1[[#This Row],[WHRS KW RECOVERED PER DAY]]&lt;&gt;0,Table1[[#This Row],[WHRS RH]]&lt;&gt;0),ROUND(Table1[[#This Row],[WHRS KW RECOVERED PER DAY]]/Table1[[#This Row],[WHRS RH]],1))</f>
        <v>0</v>
      </c>
      <c r="Z674" s="8"/>
      <c r="AA674" s="1"/>
      <c r="AB674" s="1"/>
      <c r="AC674" s="1"/>
      <c r="AD674" s="1"/>
      <c r="AE674" s="1"/>
      <c r="AF674" s="1"/>
      <c r="AG674" s="1" t="str">
        <f t="shared" si="30"/>
        <v/>
      </c>
      <c r="AH674" s="1" t="str">
        <f t="shared" si="31"/>
        <v/>
      </c>
      <c r="AI674" s="1" t="str">
        <f>IF(AH674="", "", SUM($AH$4:AH674))</f>
        <v/>
      </c>
      <c r="AJ674" s="9"/>
    </row>
    <row r="675" spans="1:36">
      <c r="A675" s="7"/>
      <c r="X675" s="6" t="str">
        <f>IF(Table1[[#This Row],[WHRS NET KW TOTAL]]&lt;&gt;0,Table1[[#This Row],[WHRS NET KW TOTAL]]-U674,"")</f>
        <v/>
      </c>
      <c r="Y675" s="6" t="b">
        <f>IF(AND(Table1[[#This Row],[WHRS KW RECOVERED PER DAY]]&lt;&gt;0,Table1[[#This Row],[WHRS RH]]&lt;&gt;0),ROUND(Table1[[#This Row],[WHRS KW RECOVERED PER DAY]]/Table1[[#This Row],[WHRS RH]],1))</f>
        <v>0</v>
      </c>
      <c r="Z675" s="8"/>
      <c r="AA675" s="1"/>
      <c r="AB675" s="1"/>
      <c r="AC675" s="1"/>
      <c r="AD675" s="1"/>
      <c r="AE675" s="1"/>
      <c r="AF675" s="1"/>
      <c r="AG675" s="1" t="str">
        <f t="shared" si="30"/>
        <v/>
      </c>
      <c r="AH675" s="1" t="str">
        <f t="shared" si="31"/>
        <v/>
      </c>
      <c r="AI675" s="1" t="str">
        <f>IF(AH675="", "", SUM($AH$4:AH675))</f>
        <v/>
      </c>
      <c r="AJ675" s="9"/>
    </row>
    <row r="676" spans="1:36">
      <c r="A676" s="7"/>
      <c r="X676" s="6" t="str">
        <f>IF(Table1[[#This Row],[WHRS NET KW TOTAL]]&lt;&gt;0,Table1[[#This Row],[WHRS NET KW TOTAL]]-U675,"")</f>
        <v/>
      </c>
      <c r="Y676" s="6" t="b">
        <f>IF(AND(Table1[[#This Row],[WHRS KW RECOVERED PER DAY]]&lt;&gt;0,Table1[[#This Row],[WHRS RH]]&lt;&gt;0),ROUND(Table1[[#This Row],[WHRS KW RECOVERED PER DAY]]/Table1[[#This Row],[WHRS RH]],1))</f>
        <v>0</v>
      </c>
      <c r="Z676" s="8"/>
      <c r="AA676" s="1"/>
      <c r="AB676" s="1"/>
      <c r="AC676" s="1"/>
      <c r="AD676" s="1"/>
      <c r="AE676" s="1"/>
      <c r="AF676" s="1"/>
      <c r="AG676" s="1" t="str">
        <f t="shared" si="30"/>
        <v/>
      </c>
      <c r="AH676" s="1" t="str">
        <f t="shared" si="31"/>
        <v/>
      </c>
      <c r="AI676" s="1" t="str">
        <f>IF(AH676="", "", SUM($AH$4:AH676))</f>
        <v/>
      </c>
      <c r="AJ676" s="9"/>
    </row>
    <row r="677" spans="1:36">
      <c r="A677" s="7"/>
      <c r="X677" s="6" t="str">
        <f>IF(Table1[[#This Row],[WHRS NET KW TOTAL]]&lt;&gt;0,Table1[[#This Row],[WHRS NET KW TOTAL]]-U676,"")</f>
        <v/>
      </c>
      <c r="Y677" s="6" t="b">
        <f>IF(AND(Table1[[#This Row],[WHRS KW RECOVERED PER DAY]]&lt;&gt;0,Table1[[#This Row],[WHRS RH]]&lt;&gt;0),ROUND(Table1[[#This Row],[WHRS KW RECOVERED PER DAY]]/Table1[[#This Row],[WHRS RH]],1))</f>
        <v>0</v>
      </c>
      <c r="Z677" s="8"/>
      <c r="AA677" s="1"/>
      <c r="AB677" s="1"/>
      <c r="AC677" s="1"/>
      <c r="AD677" s="1"/>
      <c r="AE677" s="1"/>
      <c r="AF677" s="1"/>
      <c r="AG677" s="1" t="str">
        <f t="shared" si="30"/>
        <v/>
      </c>
      <c r="AH677" s="1" t="str">
        <f t="shared" si="31"/>
        <v/>
      </c>
      <c r="AI677" s="1" t="str">
        <f>IF(AH677="", "", SUM($AH$4:AH677))</f>
        <v/>
      </c>
      <c r="AJ677" s="9"/>
    </row>
    <row r="678" spans="1:36">
      <c r="A678" s="7"/>
      <c r="X678" s="6" t="str">
        <f>IF(Table1[[#This Row],[WHRS NET KW TOTAL]]&lt;&gt;0,Table1[[#This Row],[WHRS NET KW TOTAL]]-U677,"")</f>
        <v/>
      </c>
      <c r="Y678" s="6" t="b">
        <f>IF(AND(Table1[[#This Row],[WHRS KW RECOVERED PER DAY]]&lt;&gt;0,Table1[[#This Row],[WHRS RH]]&lt;&gt;0),ROUND(Table1[[#This Row],[WHRS KW RECOVERED PER DAY]]/Table1[[#This Row],[WHRS RH]],1))</f>
        <v>0</v>
      </c>
      <c r="Z678" s="8"/>
      <c r="AA678" s="1"/>
      <c r="AB678" s="1"/>
      <c r="AC678" s="1"/>
      <c r="AD678" s="1"/>
      <c r="AE678" s="1"/>
      <c r="AF678" s="1"/>
      <c r="AG678" s="1" t="str">
        <f t="shared" si="30"/>
        <v/>
      </c>
      <c r="AH678" s="1" t="str">
        <f t="shared" si="31"/>
        <v/>
      </c>
      <c r="AI678" s="1" t="str">
        <f>IF(AH678="", "", SUM($AH$4:AH678))</f>
        <v/>
      </c>
      <c r="AJ678" s="9"/>
    </row>
    <row r="679" spans="1:36">
      <c r="A679" s="7"/>
      <c r="X679" s="6" t="str">
        <f>IF(Table1[[#This Row],[WHRS NET KW TOTAL]]&lt;&gt;0,Table1[[#This Row],[WHRS NET KW TOTAL]]-U678,"")</f>
        <v/>
      </c>
      <c r="Y679" s="6" t="b">
        <f>IF(AND(Table1[[#This Row],[WHRS KW RECOVERED PER DAY]]&lt;&gt;0,Table1[[#This Row],[WHRS RH]]&lt;&gt;0),ROUND(Table1[[#This Row],[WHRS KW RECOVERED PER DAY]]/Table1[[#This Row],[WHRS RH]],1))</f>
        <v>0</v>
      </c>
      <c r="Z679" s="8"/>
      <c r="AA679" s="1"/>
      <c r="AB679" s="1"/>
      <c r="AC679" s="1"/>
      <c r="AD679" s="1"/>
      <c r="AE679" s="1"/>
      <c r="AF679" s="1"/>
      <c r="AG679" s="1" t="str">
        <f t="shared" si="30"/>
        <v/>
      </c>
      <c r="AH679" s="1" t="str">
        <f t="shared" si="31"/>
        <v/>
      </c>
      <c r="AI679" s="1" t="str">
        <f>IF(AH679="", "", SUM($AH$4:AH679))</f>
        <v/>
      </c>
      <c r="AJ679" s="9"/>
    </row>
    <row r="680" spans="1:36">
      <c r="A680" s="7"/>
      <c r="X680" s="6" t="str">
        <f>IF(Table1[[#This Row],[WHRS NET KW TOTAL]]&lt;&gt;0,Table1[[#This Row],[WHRS NET KW TOTAL]]-U679,"")</f>
        <v/>
      </c>
      <c r="Y680" s="6" t="b">
        <f>IF(AND(Table1[[#This Row],[WHRS KW RECOVERED PER DAY]]&lt;&gt;0,Table1[[#This Row],[WHRS RH]]&lt;&gt;0),ROUND(Table1[[#This Row],[WHRS KW RECOVERED PER DAY]]/Table1[[#This Row],[WHRS RH]],1))</f>
        <v>0</v>
      </c>
      <c r="Z680" s="8"/>
      <c r="AA680" s="1"/>
      <c r="AB680" s="1"/>
      <c r="AC680" s="1"/>
      <c r="AD680" s="1"/>
      <c r="AE680" s="1"/>
      <c r="AF680" s="1"/>
      <c r="AG680" s="1" t="str">
        <f t="shared" si="30"/>
        <v/>
      </c>
      <c r="AH680" s="1" t="str">
        <f t="shared" si="31"/>
        <v/>
      </c>
      <c r="AI680" s="1" t="str">
        <f>IF(AH680="", "", SUM($AH$4:AH680))</f>
        <v/>
      </c>
      <c r="AJ680" s="9"/>
    </row>
    <row r="681" spans="1:36">
      <c r="A681" s="7"/>
      <c r="X681" s="6" t="str">
        <f>IF(Table1[[#This Row],[WHRS NET KW TOTAL]]&lt;&gt;0,Table1[[#This Row],[WHRS NET KW TOTAL]]-U680,"")</f>
        <v/>
      </c>
      <c r="Y681" s="6" t="b">
        <f>IF(AND(Table1[[#This Row],[WHRS KW RECOVERED PER DAY]]&lt;&gt;0,Table1[[#This Row],[WHRS RH]]&lt;&gt;0),ROUND(Table1[[#This Row],[WHRS KW RECOVERED PER DAY]]/Table1[[#This Row],[WHRS RH]],1))</f>
        <v>0</v>
      </c>
      <c r="Z681" s="8"/>
      <c r="AA681" s="1"/>
      <c r="AB681" s="1"/>
      <c r="AC681" s="1"/>
      <c r="AD681" s="1"/>
      <c r="AE681" s="1"/>
      <c r="AF681" s="1"/>
      <c r="AG681" s="1" t="str">
        <f t="shared" si="30"/>
        <v/>
      </c>
      <c r="AH681" s="1" t="str">
        <f t="shared" si="31"/>
        <v/>
      </c>
      <c r="AI681" s="1" t="str">
        <f>IF(AH681="", "", SUM($AH$4:AH681))</f>
        <v/>
      </c>
      <c r="AJ681" s="9"/>
    </row>
    <row r="682" spans="1:36">
      <c r="A682" s="7"/>
      <c r="X682" s="6" t="str">
        <f>IF(Table1[[#This Row],[WHRS NET KW TOTAL]]&lt;&gt;0,Table1[[#This Row],[WHRS NET KW TOTAL]]-U681,"")</f>
        <v/>
      </c>
      <c r="Y682" s="6" t="b">
        <f>IF(AND(Table1[[#This Row],[WHRS KW RECOVERED PER DAY]]&lt;&gt;0,Table1[[#This Row],[WHRS RH]]&lt;&gt;0),ROUND(Table1[[#This Row],[WHRS KW RECOVERED PER DAY]]/Table1[[#This Row],[WHRS RH]],1))</f>
        <v>0</v>
      </c>
      <c r="Z682" s="8"/>
      <c r="AA682" s="1"/>
      <c r="AB682" s="1"/>
      <c r="AC682" s="1"/>
      <c r="AD682" s="1"/>
      <c r="AE682" s="1"/>
      <c r="AF682" s="1"/>
      <c r="AG682" s="1" t="str">
        <f t="shared" si="30"/>
        <v/>
      </c>
      <c r="AH682" s="1" t="str">
        <f t="shared" si="31"/>
        <v/>
      </c>
      <c r="AI682" s="1" t="str">
        <f>IF(AH682="", "", SUM($AH$4:AH682))</f>
        <v/>
      </c>
      <c r="AJ682" s="9"/>
    </row>
    <row r="683" spans="1:36">
      <c r="A683" s="7"/>
      <c r="X683" s="6" t="str">
        <f>IF(Table1[[#This Row],[WHRS NET KW TOTAL]]&lt;&gt;0,Table1[[#This Row],[WHRS NET KW TOTAL]]-U682,"")</f>
        <v/>
      </c>
      <c r="Y683" s="6" t="b">
        <f>IF(AND(Table1[[#This Row],[WHRS KW RECOVERED PER DAY]]&lt;&gt;0,Table1[[#This Row],[WHRS RH]]&lt;&gt;0),ROUND(Table1[[#This Row],[WHRS KW RECOVERED PER DAY]]/Table1[[#This Row],[WHRS RH]],1))</f>
        <v>0</v>
      </c>
      <c r="Z683" s="8"/>
      <c r="AA683" s="1"/>
      <c r="AB683" s="1"/>
      <c r="AC683" s="1"/>
      <c r="AD683" s="1"/>
      <c r="AE683" s="1"/>
      <c r="AF683" s="1"/>
      <c r="AG683" s="1" t="str">
        <f t="shared" si="30"/>
        <v/>
      </c>
      <c r="AH683" s="1" t="str">
        <f t="shared" si="31"/>
        <v/>
      </c>
      <c r="AI683" s="1" t="str">
        <f>IF(AH683="", "", SUM($AH$4:AH683))</f>
        <v/>
      </c>
      <c r="AJ683" s="9"/>
    </row>
    <row r="684" spans="1:36">
      <c r="A684" s="7"/>
      <c r="X684" s="6" t="str">
        <f>IF(Table1[[#This Row],[WHRS NET KW TOTAL]]&lt;&gt;0,Table1[[#This Row],[WHRS NET KW TOTAL]]-U683,"")</f>
        <v/>
      </c>
      <c r="Y684" s="6" t="b">
        <f>IF(AND(Table1[[#This Row],[WHRS KW RECOVERED PER DAY]]&lt;&gt;0,Table1[[#This Row],[WHRS RH]]&lt;&gt;0),ROUND(Table1[[#This Row],[WHRS KW RECOVERED PER DAY]]/Table1[[#This Row],[WHRS RH]],1))</f>
        <v>0</v>
      </c>
      <c r="Z684" s="8"/>
      <c r="AA684" s="1"/>
      <c r="AB684" s="1"/>
      <c r="AC684" s="1"/>
      <c r="AD684" s="1"/>
      <c r="AE684" s="1"/>
      <c r="AF684" s="1"/>
      <c r="AG684" s="1" t="str">
        <f t="shared" si="30"/>
        <v/>
      </c>
      <c r="AH684" s="1" t="str">
        <f t="shared" si="31"/>
        <v/>
      </c>
      <c r="AI684" s="1" t="str">
        <f>IF(AH684="", "", SUM($AH$4:AH684))</f>
        <v/>
      </c>
      <c r="AJ684" s="9"/>
    </row>
    <row r="685" spans="1:36">
      <c r="A685" s="7"/>
      <c r="X685" s="6" t="str">
        <f>IF(Table1[[#This Row],[WHRS NET KW TOTAL]]&lt;&gt;0,Table1[[#This Row],[WHRS NET KW TOTAL]]-U684,"")</f>
        <v/>
      </c>
      <c r="Y685" s="6" t="b">
        <f>IF(AND(Table1[[#This Row],[WHRS KW RECOVERED PER DAY]]&lt;&gt;0,Table1[[#This Row],[WHRS RH]]&lt;&gt;0),ROUND(Table1[[#This Row],[WHRS KW RECOVERED PER DAY]]/Table1[[#This Row],[WHRS RH]],1))</f>
        <v>0</v>
      </c>
      <c r="Z685" s="8"/>
      <c r="AA685" s="1"/>
      <c r="AB685" s="1"/>
      <c r="AC685" s="1"/>
      <c r="AD685" s="1"/>
      <c r="AE685" s="1"/>
      <c r="AF685" s="1"/>
      <c r="AG685" s="1" t="str">
        <f t="shared" si="30"/>
        <v/>
      </c>
      <c r="AH685" s="1" t="str">
        <f t="shared" si="31"/>
        <v/>
      </c>
      <c r="AI685" s="1" t="str">
        <f>IF(AH685="", "", SUM($AH$4:AH685))</f>
        <v/>
      </c>
      <c r="AJ685" s="9"/>
    </row>
    <row r="686" spans="1:36">
      <c r="A686" s="7"/>
      <c r="X686" s="6" t="str">
        <f>IF(Table1[[#This Row],[WHRS NET KW TOTAL]]&lt;&gt;0,Table1[[#This Row],[WHRS NET KW TOTAL]]-U685,"")</f>
        <v/>
      </c>
      <c r="Y686" s="6" t="b">
        <f>IF(AND(Table1[[#This Row],[WHRS KW RECOVERED PER DAY]]&lt;&gt;0,Table1[[#This Row],[WHRS RH]]&lt;&gt;0),ROUND(Table1[[#This Row],[WHRS KW RECOVERED PER DAY]]/Table1[[#This Row],[WHRS RH]],1))</f>
        <v>0</v>
      </c>
      <c r="Z686" s="8"/>
      <c r="AA686" s="1"/>
      <c r="AB686" s="1"/>
      <c r="AC686" s="1"/>
      <c r="AD686" s="1"/>
      <c r="AE686" s="1"/>
      <c r="AF686" s="1"/>
      <c r="AG686" s="1" t="str">
        <f t="shared" si="30"/>
        <v/>
      </c>
      <c r="AH686" s="1" t="str">
        <f t="shared" si="31"/>
        <v/>
      </c>
      <c r="AI686" s="1" t="str">
        <f>IF(AH686="", "", SUM($AH$4:AH686))</f>
        <v/>
      </c>
      <c r="AJ686" s="9"/>
    </row>
    <row r="687" spans="1:36">
      <c r="A687" s="7"/>
      <c r="X687" s="6" t="str">
        <f>IF(Table1[[#This Row],[WHRS NET KW TOTAL]]&lt;&gt;0,Table1[[#This Row],[WHRS NET KW TOTAL]]-U686,"")</f>
        <v/>
      </c>
      <c r="Y687" s="6" t="b">
        <f>IF(AND(Table1[[#This Row],[WHRS KW RECOVERED PER DAY]]&lt;&gt;0,Table1[[#This Row],[WHRS RH]]&lt;&gt;0),ROUND(Table1[[#This Row],[WHRS KW RECOVERED PER DAY]]/Table1[[#This Row],[WHRS RH]],1))</f>
        <v>0</v>
      </c>
      <c r="Z687" s="8"/>
      <c r="AA687" s="1"/>
      <c r="AB687" s="1"/>
      <c r="AC687" s="1"/>
      <c r="AD687" s="1"/>
      <c r="AE687" s="1"/>
      <c r="AF687" s="1"/>
      <c r="AG687" s="1" t="str">
        <f t="shared" si="30"/>
        <v/>
      </c>
      <c r="AH687" s="1" t="str">
        <f t="shared" si="31"/>
        <v/>
      </c>
      <c r="AI687" s="1" t="str">
        <f>IF(AH687="", "", SUM($AH$4:AH687))</f>
        <v/>
      </c>
      <c r="AJ687" s="9"/>
    </row>
    <row r="688" spans="1:36">
      <c r="A688" s="7"/>
      <c r="X688" s="6" t="str">
        <f>IF(Table1[[#This Row],[WHRS NET KW TOTAL]]&lt;&gt;0,Table1[[#This Row],[WHRS NET KW TOTAL]]-U687,"")</f>
        <v/>
      </c>
      <c r="Y688" s="6" t="b">
        <f>IF(AND(Table1[[#This Row],[WHRS KW RECOVERED PER DAY]]&lt;&gt;0,Table1[[#This Row],[WHRS RH]]&lt;&gt;0),ROUND(Table1[[#This Row],[WHRS KW RECOVERED PER DAY]]/Table1[[#This Row],[WHRS RH]],1))</f>
        <v>0</v>
      </c>
      <c r="Z688" s="8"/>
      <c r="AA688" s="1"/>
      <c r="AB688" s="1"/>
      <c r="AC688" s="1"/>
      <c r="AD688" s="1"/>
      <c r="AE688" s="1"/>
      <c r="AF688" s="1"/>
      <c r="AG688" s="1" t="str">
        <f t="shared" si="30"/>
        <v/>
      </c>
      <c r="AH688" s="1" t="str">
        <f t="shared" si="31"/>
        <v/>
      </c>
      <c r="AI688" s="1" t="str">
        <f>IF(AH688="", "", SUM($AH$4:AH688))</f>
        <v/>
      </c>
      <c r="AJ688" s="9"/>
    </row>
    <row r="689" spans="1:36">
      <c r="A689" s="7"/>
      <c r="X689" s="6" t="str">
        <f>IF(Table1[[#This Row],[WHRS NET KW TOTAL]]&lt;&gt;0,Table1[[#This Row],[WHRS NET KW TOTAL]]-U688,"")</f>
        <v/>
      </c>
      <c r="Y689" s="6" t="b">
        <f>IF(AND(Table1[[#This Row],[WHRS KW RECOVERED PER DAY]]&lt;&gt;0,Table1[[#This Row],[WHRS RH]]&lt;&gt;0),ROUND(Table1[[#This Row],[WHRS KW RECOVERED PER DAY]]/Table1[[#This Row],[WHRS RH]],1))</f>
        <v>0</v>
      </c>
      <c r="Z689" s="8"/>
      <c r="AA689" s="1"/>
      <c r="AB689" s="1"/>
      <c r="AC689" s="1"/>
      <c r="AD689" s="1"/>
      <c r="AE689" s="1"/>
      <c r="AF689" s="1"/>
      <c r="AG689" s="1" t="str">
        <f t="shared" si="30"/>
        <v/>
      </c>
      <c r="AH689" s="1" t="str">
        <f t="shared" si="31"/>
        <v/>
      </c>
      <c r="AI689" s="1" t="str">
        <f>IF(AH689="", "", SUM($AH$4:AH689))</f>
        <v/>
      </c>
      <c r="AJ689" s="9"/>
    </row>
    <row r="690" spans="1:36">
      <c r="A690" s="7"/>
      <c r="X690" s="6" t="str">
        <f>IF(Table1[[#This Row],[WHRS NET KW TOTAL]]&lt;&gt;0,Table1[[#This Row],[WHRS NET KW TOTAL]]-U689,"")</f>
        <v/>
      </c>
      <c r="Y690" s="6" t="b">
        <f>IF(AND(Table1[[#This Row],[WHRS KW RECOVERED PER DAY]]&lt;&gt;0,Table1[[#This Row],[WHRS RH]]&lt;&gt;0),ROUND(Table1[[#This Row],[WHRS KW RECOVERED PER DAY]]/Table1[[#This Row],[WHRS RH]],1))</f>
        <v>0</v>
      </c>
      <c r="Z690" s="8"/>
      <c r="AA690" s="1"/>
      <c r="AB690" s="1"/>
      <c r="AC690" s="1"/>
      <c r="AD690" s="1"/>
      <c r="AE690" s="1"/>
      <c r="AF690" s="1"/>
      <c r="AG690" s="1" t="str">
        <f t="shared" si="30"/>
        <v/>
      </c>
      <c r="AH690" s="1" t="str">
        <f t="shared" si="31"/>
        <v/>
      </c>
      <c r="AI690" s="1" t="str">
        <f>IF(AH690="", "", SUM($AH$4:AH690))</f>
        <v/>
      </c>
      <c r="AJ690" s="9"/>
    </row>
    <row r="691" spans="1:36">
      <c r="A691" s="7"/>
      <c r="X691" s="6" t="str">
        <f>IF(Table1[[#This Row],[WHRS NET KW TOTAL]]&lt;&gt;0,Table1[[#This Row],[WHRS NET KW TOTAL]]-U690,"")</f>
        <v/>
      </c>
      <c r="Y691" s="6" t="b">
        <f>IF(AND(Table1[[#This Row],[WHRS KW RECOVERED PER DAY]]&lt;&gt;0,Table1[[#This Row],[WHRS RH]]&lt;&gt;0),ROUND(Table1[[#This Row],[WHRS KW RECOVERED PER DAY]]/Table1[[#This Row],[WHRS RH]],1))</f>
        <v>0</v>
      </c>
      <c r="Z691" s="8"/>
      <c r="AA691" s="1"/>
      <c r="AB691" s="1"/>
      <c r="AC691" s="1"/>
      <c r="AD691" s="1"/>
      <c r="AE691" s="1"/>
      <c r="AF691" s="1"/>
      <c r="AG691" s="1" t="str">
        <f t="shared" si="30"/>
        <v/>
      </c>
      <c r="AH691" s="1" t="str">
        <f t="shared" si="31"/>
        <v/>
      </c>
      <c r="AI691" s="1" t="str">
        <f>IF(AH691="", "", SUM($AH$4:AH691))</f>
        <v/>
      </c>
      <c r="AJ691" s="9"/>
    </row>
    <row r="692" spans="1:36">
      <c r="A692" s="7"/>
      <c r="X692" s="6" t="str">
        <f>IF(Table1[[#This Row],[WHRS NET KW TOTAL]]&lt;&gt;0,Table1[[#This Row],[WHRS NET KW TOTAL]]-U691,"")</f>
        <v/>
      </c>
      <c r="Y692" s="6" t="b">
        <f>IF(AND(Table1[[#This Row],[WHRS KW RECOVERED PER DAY]]&lt;&gt;0,Table1[[#This Row],[WHRS RH]]&lt;&gt;0),ROUND(Table1[[#This Row],[WHRS KW RECOVERED PER DAY]]/Table1[[#This Row],[WHRS RH]],1))</f>
        <v>0</v>
      </c>
      <c r="Z692" s="8"/>
      <c r="AA692" s="1"/>
      <c r="AB692" s="1"/>
      <c r="AC692" s="1"/>
      <c r="AD692" s="1"/>
      <c r="AE692" s="1"/>
      <c r="AF692" s="1"/>
      <c r="AG692" s="1" t="str">
        <f t="shared" si="30"/>
        <v/>
      </c>
      <c r="AH692" s="1" t="str">
        <f t="shared" si="31"/>
        <v/>
      </c>
      <c r="AI692" s="1" t="str">
        <f>IF(AH692="", "", SUM($AH$4:AH692))</f>
        <v/>
      </c>
      <c r="AJ692" s="9"/>
    </row>
    <row r="693" spans="1:36">
      <c r="A693" s="7"/>
      <c r="X693" s="6" t="str">
        <f>IF(Table1[[#This Row],[WHRS NET KW TOTAL]]&lt;&gt;0,Table1[[#This Row],[WHRS NET KW TOTAL]]-U692,"")</f>
        <v/>
      </c>
      <c r="Y693" s="6" t="b">
        <f>IF(AND(Table1[[#This Row],[WHRS KW RECOVERED PER DAY]]&lt;&gt;0,Table1[[#This Row],[WHRS RH]]&lt;&gt;0),ROUND(Table1[[#This Row],[WHRS KW RECOVERED PER DAY]]/Table1[[#This Row],[WHRS RH]],1))</f>
        <v>0</v>
      </c>
      <c r="Z693" s="8"/>
      <c r="AA693" s="1"/>
      <c r="AB693" s="1"/>
      <c r="AC693" s="1"/>
      <c r="AD693" s="1"/>
      <c r="AE693" s="1"/>
      <c r="AF693" s="1"/>
      <c r="AG693" s="1" t="str">
        <f t="shared" si="30"/>
        <v/>
      </c>
      <c r="AH693" s="1" t="str">
        <f t="shared" si="31"/>
        <v/>
      </c>
      <c r="AI693" s="1" t="str">
        <f>IF(AH693="", "", SUM($AH$4:AH693))</f>
        <v/>
      </c>
      <c r="AJ693" s="9"/>
    </row>
    <row r="694" spans="1:36">
      <c r="A694" s="7"/>
      <c r="X694" s="6" t="str">
        <f>IF(Table1[[#This Row],[WHRS NET KW TOTAL]]&lt;&gt;0,Table1[[#This Row],[WHRS NET KW TOTAL]]-U693,"")</f>
        <v/>
      </c>
      <c r="Y694" s="6" t="b">
        <f>IF(AND(Table1[[#This Row],[WHRS KW RECOVERED PER DAY]]&lt;&gt;0,Table1[[#This Row],[WHRS RH]]&lt;&gt;0),ROUND(Table1[[#This Row],[WHRS KW RECOVERED PER DAY]]/Table1[[#This Row],[WHRS RH]],1))</f>
        <v>0</v>
      </c>
      <c r="Z694" s="8"/>
      <c r="AA694" s="1"/>
      <c r="AB694" s="1"/>
      <c r="AC694" s="1"/>
      <c r="AD694" s="1"/>
      <c r="AE694" s="1"/>
      <c r="AF694" s="1"/>
      <c r="AG694" s="1" t="str">
        <f t="shared" si="30"/>
        <v/>
      </c>
      <c r="AH694" s="1" t="str">
        <f t="shared" si="31"/>
        <v/>
      </c>
      <c r="AI694" s="1" t="str">
        <f>IF(AH694="", "", SUM($AH$4:AH694))</f>
        <v/>
      </c>
      <c r="AJ694" s="9"/>
    </row>
    <row r="695" spans="1:36">
      <c r="A695" s="7"/>
      <c r="X695" s="6" t="str">
        <f>IF(Table1[[#This Row],[WHRS NET KW TOTAL]]&lt;&gt;0,Table1[[#This Row],[WHRS NET KW TOTAL]]-U694,"")</f>
        <v/>
      </c>
      <c r="Y695" s="6" t="b">
        <f>IF(AND(Table1[[#This Row],[WHRS KW RECOVERED PER DAY]]&lt;&gt;0,Table1[[#This Row],[WHRS RH]]&lt;&gt;0),ROUND(Table1[[#This Row],[WHRS KW RECOVERED PER DAY]]/Table1[[#This Row],[WHRS RH]],1))</f>
        <v>0</v>
      </c>
      <c r="Z695" s="8"/>
      <c r="AA695" s="1"/>
      <c r="AB695" s="1"/>
      <c r="AC695" s="1"/>
      <c r="AD695" s="1"/>
      <c r="AE695" s="1"/>
      <c r="AF695" s="1"/>
      <c r="AG695" s="1" t="str">
        <f t="shared" si="30"/>
        <v/>
      </c>
      <c r="AH695" s="1" t="str">
        <f t="shared" si="31"/>
        <v/>
      </c>
      <c r="AI695" s="1" t="str">
        <f>IF(AH695="", "", SUM($AH$4:AH695))</f>
        <v/>
      </c>
      <c r="AJ695" s="9"/>
    </row>
    <row r="696" spans="1:36">
      <c r="A696" s="7"/>
      <c r="X696" s="6" t="str">
        <f>IF(Table1[[#This Row],[WHRS NET KW TOTAL]]&lt;&gt;0,Table1[[#This Row],[WHRS NET KW TOTAL]]-U695,"")</f>
        <v/>
      </c>
      <c r="Y696" s="6" t="b">
        <f>IF(AND(Table1[[#This Row],[WHRS KW RECOVERED PER DAY]]&lt;&gt;0,Table1[[#This Row],[WHRS RH]]&lt;&gt;0),ROUND(Table1[[#This Row],[WHRS KW RECOVERED PER DAY]]/Table1[[#This Row],[WHRS RH]],1))</f>
        <v>0</v>
      </c>
      <c r="Z696" s="8"/>
      <c r="AA696" s="1"/>
      <c r="AB696" s="1"/>
      <c r="AC696" s="1"/>
      <c r="AD696" s="1"/>
      <c r="AE696" s="1"/>
      <c r="AF696" s="1"/>
      <c r="AG696" s="1" t="str">
        <f t="shared" si="30"/>
        <v/>
      </c>
      <c r="AH696" s="1" t="str">
        <f t="shared" si="31"/>
        <v/>
      </c>
      <c r="AI696" s="1" t="str">
        <f>IF(AH696="", "", SUM($AH$4:AH696))</f>
        <v/>
      </c>
      <c r="AJ696" s="9"/>
    </row>
    <row r="697" spans="1:36">
      <c r="A697" s="7"/>
      <c r="X697" s="6" t="str">
        <f>IF(Table1[[#This Row],[WHRS NET KW TOTAL]]&lt;&gt;0,Table1[[#This Row],[WHRS NET KW TOTAL]]-U696,"")</f>
        <v/>
      </c>
      <c r="Y697" s="6" t="b">
        <f>IF(AND(Table1[[#This Row],[WHRS KW RECOVERED PER DAY]]&lt;&gt;0,Table1[[#This Row],[WHRS RH]]&lt;&gt;0),ROUND(Table1[[#This Row],[WHRS KW RECOVERED PER DAY]]/Table1[[#This Row],[WHRS RH]],1))</f>
        <v>0</v>
      </c>
      <c r="Z697" s="8"/>
      <c r="AA697" s="1"/>
      <c r="AB697" s="1"/>
      <c r="AC697" s="1"/>
      <c r="AD697" s="1"/>
      <c r="AE697" s="1"/>
      <c r="AF697" s="1"/>
      <c r="AG697" s="1" t="str">
        <f t="shared" si="30"/>
        <v/>
      </c>
      <c r="AH697" s="1" t="str">
        <f t="shared" si="31"/>
        <v/>
      </c>
      <c r="AI697" s="1" t="str">
        <f>IF(AH697="", "", SUM($AH$4:AH697))</f>
        <v/>
      </c>
      <c r="AJ697" s="9"/>
    </row>
    <row r="698" spans="1:36">
      <c r="A698" s="7"/>
      <c r="X698" s="6" t="str">
        <f>IF(Table1[[#This Row],[WHRS NET KW TOTAL]]&lt;&gt;0,Table1[[#This Row],[WHRS NET KW TOTAL]]-U697,"")</f>
        <v/>
      </c>
      <c r="Y698" s="6" t="b">
        <f>IF(AND(Table1[[#This Row],[WHRS KW RECOVERED PER DAY]]&lt;&gt;0,Table1[[#This Row],[WHRS RH]]&lt;&gt;0),ROUND(Table1[[#This Row],[WHRS KW RECOVERED PER DAY]]/Table1[[#This Row],[WHRS RH]],1))</f>
        <v>0</v>
      </c>
      <c r="Z698" s="8"/>
      <c r="AA698" s="1"/>
      <c r="AB698" s="1"/>
      <c r="AC698" s="1"/>
      <c r="AD698" s="1"/>
      <c r="AE698" s="1"/>
      <c r="AF698" s="1"/>
      <c r="AG698" s="1" t="str">
        <f t="shared" si="30"/>
        <v/>
      </c>
      <c r="AH698" s="1" t="str">
        <f t="shared" si="31"/>
        <v/>
      </c>
      <c r="AI698" s="1" t="str">
        <f>IF(AH698="", "", SUM($AH$4:AH698))</f>
        <v/>
      </c>
      <c r="AJ698" s="9"/>
    </row>
    <row r="699" spans="1:36">
      <c r="A699" s="7"/>
      <c r="X699" s="6" t="str">
        <f>IF(Table1[[#This Row],[WHRS NET KW TOTAL]]&lt;&gt;0,Table1[[#This Row],[WHRS NET KW TOTAL]]-U698,"")</f>
        <v/>
      </c>
      <c r="Y699" s="6" t="b">
        <f>IF(AND(Table1[[#This Row],[WHRS KW RECOVERED PER DAY]]&lt;&gt;0,Table1[[#This Row],[WHRS RH]]&lt;&gt;0),ROUND(Table1[[#This Row],[WHRS KW RECOVERED PER DAY]]/Table1[[#This Row],[WHRS RH]],1))</f>
        <v>0</v>
      </c>
      <c r="Z699" s="8"/>
      <c r="AA699" s="1"/>
      <c r="AB699" s="1"/>
      <c r="AC699" s="1"/>
      <c r="AD699" s="1"/>
      <c r="AE699" s="1"/>
      <c r="AF699" s="1"/>
      <c r="AG699" s="1" t="str">
        <f t="shared" si="30"/>
        <v/>
      </c>
      <c r="AH699" s="1" t="str">
        <f t="shared" si="31"/>
        <v/>
      </c>
      <c r="AI699" s="1" t="str">
        <f>IF(AH699="", "", SUM($AH$4:AH699))</f>
        <v/>
      </c>
      <c r="AJ699" s="9"/>
    </row>
    <row r="700" spans="1:36">
      <c r="A700" s="7"/>
      <c r="X700" s="6" t="str">
        <f>IF(Table1[[#This Row],[WHRS NET KW TOTAL]]&lt;&gt;0,Table1[[#This Row],[WHRS NET KW TOTAL]]-U699,"")</f>
        <v/>
      </c>
      <c r="Y700" s="6" t="b">
        <f>IF(AND(Table1[[#This Row],[WHRS KW RECOVERED PER DAY]]&lt;&gt;0,Table1[[#This Row],[WHRS RH]]&lt;&gt;0),ROUND(Table1[[#This Row],[WHRS KW RECOVERED PER DAY]]/Table1[[#This Row],[WHRS RH]],1))</f>
        <v>0</v>
      </c>
      <c r="Z700" s="8"/>
      <c r="AA700" s="1"/>
      <c r="AB700" s="1"/>
      <c r="AC700" s="1"/>
      <c r="AD700" s="1"/>
      <c r="AE700" s="1"/>
      <c r="AF700" s="1"/>
      <c r="AG700" s="1" t="str">
        <f t="shared" si="30"/>
        <v/>
      </c>
      <c r="AH700" s="1" t="str">
        <f t="shared" si="31"/>
        <v/>
      </c>
      <c r="AI700" s="1" t="str">
        <f>IF(AH700="", "", SUM($AH$4:AH700))</f>
        <v/>
      </c>
      <c r="AJ700" s="9"/>
    </row>
    <row r="701" spans="1:36">
      <c r="A701" s="7"/>
      <c r="X701" s="6" t="str">
        <f>IF(Table1[[#This Row],[WHRS NET KW TOTAL]]&lt;&gt;0,Table1[[#This Row],[WHRS NET KW TOTAL]]-U700,"")</f>
        <v/>
      </c>
      <c r="Y701" s="6" t="b">
        <f>IF(AND(Table1[[#This Row],[WHRS KW RECOVERED PER DAY]]&lt;&gt;0,Table1[[#This Row],[WHRS RH]]&lt;&gt;0),ROUND(Table1[[#This Row],[WHRS KW RECOVERED PER DAY]]/Table1[[#This Row],[WHRS RH]],1))</f>
        <v>0</v>
      </c>
      <c r="Z701" s="8"/>
      <c r="AA701" s="1"/>
      <c r="AB701" s="1"/>
      <c r="AC701" s="1"/>
      <c r="AD701" s="1"/>
      <c r="AE701" s="1"/>
      <c r="AF701" s="1"/>
      <c r="AG701" s="1" t="str">
        <f t="shared" si="30"/>
        <v/>
      </c>
      <c r="AH701" s="1" t="str">
        <f t="shared" si="31"/>
        <v/>
      </c>
      <c r="AI701" s="1" t="str">
        <f>IF(AH701="", "", SUM($AH$4:AH701))</f>
        <v/>
      </c>
      <c r="AJ701" s="9"/>
    </row>
    <row r="702" spans="1:36">
      <c r="A702" s="7"/>
      <c r="X702" s="6" t="str">
        <f>IF(Table1[[#This Row],[WHRS NET KW TOTAL]]&lt;&gt;0,Table1[[#This Row],[WHRS NET KW TOTAL]]-U701,"")</f>
        <v/>
      </c>
      <c r="Y702" s="6" t="b">
        <f>IF(AND(Table1[[#This Row],[WHRS KW RECOVERED PER DAY]]&lt;&gt;0,Table1[[#This Row],[WHRS RH]]&lt;&gt;0),ROUND(Table1[[#This Row],[WHRS KW RECOVERED PER DAY]]/Table1[[#This Row],[WHRS RH]],1))</f>
        <v>0</v>
      </c>
      <c r="Z702" s="8"/>
      <c r="AA702" s="1"/>
      <c r="AB702" s="1"/>
      <c r="AC702" s="1"/>
      <c r="AD702" s="1"/>
      <c r="AE702" s="1"/>
      <c r="AF702" s="1"/>
      <c r="AG702" s="1" t="str">
        <f t="shared" si="30"/>
        <v/>
      </c>
      <c r="AH702" s="1" t="str">
        <f t="shared" si="31"/>
        <v/>
      </c>
      <c r="AI702" s="1" t="str">
        <f>IF(AH702="", "", SUM($AH$4:AH702))</f>
        <v/>
      </c>
      <c r="AJ702" s="9"/>
    </row>
    <row r="703" spans="1:36">
      <c r="A703" s="7"/>
      <c r="X703" s="6" t="str">
        <f>IF(Table1[[#This Row],[WHRS NET KW TOTAL]]&lt;&gt;0,Table1[[#This Row],[WHRS NET KW TOTAL]]-U702,"")</f>
        <v/>
      </c>
      <c r="Y703" s="6" t="b">
        <f>IF(AND(Table1[[#This Row],[WHRS KW RECOVERED PER DAY]]&lt;&gt;0,Table1[[#This Row],[WHRS RH]]&lt;&gt;0),ROUND(Table1[[#This Row],[WHRS KW RECOVERED PER DAY]]/Table1[[#This Row],[WHRS RH]],1))</f>
        <v>0</v>
      </c>
      <c r="Z703" s="8"/>
      <c r="AA703" s="1"/>
      <c r="AB703" s="1"/>
      <c r="AC703" s="1"/>
      <c r="AD703" s="1"/>
      <c r="AE703" s="1"/>
      <c r="AF703" s="1"/>
      <c r="AG703" s="1" t="str">
        <f t="shared" si="30"/>
        <v/>
      </c>
      <c r="AH703" s="1" t="str">
        <f t="shared" si="31"/>
        <v/>
      </c>
      <c r="AI703" s="1" t="str">
        <f>IF(AH703="", "", SUM($AH$4:AH703))</f>
        <v/>
      </c>
      <c r="AJ703" s="9"/>
    </row>
    <row r="704" spans="1:36">
      <c r="A704" s="7"/>
      <c r="X704" s="6" t="str">
        <f>IF(Table1[[#This Row],[WHRS NET KW TOTAL]]&lt;&gt;0,Table1[[#This Row],[WHRS NET KW TOTAL]]-U703,"")</f>
        <v/>
      </c>
      <c r="Y704" s="6" t="b">
        <f>IF(AND(Table1[[#This Row],[WHRS KW RECOVERED PER DAY]]&lt;&gt;0,Table1[[#This Row],[WHRS RH]]&lt;&gt;0),ROUND(Table1[[#This Row],[WHRS KW RECOVERED PER DAY]]/Table1[[#This Row],[WHRS RH]],1))</f>
        <v>0</v>
      </c>
      <c r="Z704" s="8"/>
      <c r="AA704" s="1"/>
      <c r="AB704" s="1"/>
      <c r="AC704" s="1"/>
      <c r="AD704" s="1"/>
      <c r="AE704" s="1"/>
      <c r="AF704" s="1"/>
      <c r="AG704" s="1" t="str">
        <f t="shared" si="30"/>
        <v/>
      </c>
      <c r="AH704" s="1" t="str">
        <f t="shared" si="31"/>
        <v/>
      </c>
      <c r="AI704" s="1" t="str">
        <f>IF(AH704="", "", SUM($AH$4:AH704))</f>
        <v/>
      </c>
      <c r="AJ704" s="9"/>
    </row>
    <row r="705" spans="1:36">
      <c r="A705" s="7"/>
      <c r="X705" s="6" t="str">
        <f>IF(Table1[[#This Row],[WHRS NET KW TOTAL]]&lt;&gt;0,Table1[[#This Row],[WHRS NET KW TOTAL]]-U704,"")</f>
        <v/>
      </c>
      <c r="Y705" s="6" t="b">
        <f>IF(AND(Table1[[#This Row],[WHRS KW RECOVERED PER DAY]]&lt;&gt;0,Table1[[#This Row],[WHRS RH]]&lt;&gt;0),ROUND(Table1[[#This Row],[WHRS KW RECOVERED PER DAY]]/Table1[[#This Row],[WHRS RH]],1))</f>
        <v>0</v>
      </c>
      <c r="Z705" s="8"/>
      <c r="AA705" s="1"/>
      <c r="AB705" s="1"/>
      <c r="AC705" s="1"/>
      <c r="AD705" s="1"/>
      <c r="AE705" s="1"/>
      <c r="AF705" s="1"/>
      <c r="AG705" s="1" t="str">
        <f t="shared" si="30"/>
        <v/>
      </c>
      <c r="AH705" s="1" t="str">
        <f t="shared" si="31"/>
        <v/>
      </c>
      <c r="AI705" s="1" t="str">
        <f>IF(AH705="", "", SUM($AH$4:AH705))</f>
        <v/>
      </c>
      <c r="AJ705" s="9"/>
    </row>
    <row r="706" spans="1:36">
      <c r="A706" s="7"/>
      <c r="X706" s="6" t="str">
        <f>IF(Table1[[#This Row],[WHRS NET KW TOTAL]]&lt;&gt;0,Table1[[#This Row],[WHRS NET KW TOTAL]]-U705,"")</f>
        <v/>
      </c>
      <c r="Y706" s="6" t="b">
        <f>IF(AND(Table1[[#This Row],[WHRS KW RECOVERED PER DAY]]&lt;&gt;0,Table1[[#This Row],[WHRS RH]]&lt;&gt;0),ROUND(Table1[[#This Row],[WHRS KW RECOVERED PER DAY]]/Table1[[#This Row],[WHRS RH]],1))</f>
        <v>0</v>
      </c>
      <c r="Z706" s="8"/>
      <c r="AA706" s="1"/>
      <c r="AB706" s="1"/>
      <c r="AC706" s="1"/>
      <c r="AD706" s="1"/>
      <c r="AE706" s="1"/>
      <c r="AF706" s="1"/>
      <c r="AG706" s="1" t="str">
        <f t="shared" si="30"/>
        <v/>
      </c>
      <c r="AH706" s="1" t="str">
        <f t="shared" si="31"/>
        <v/>
      </c>
      <c r="AI706" s="1" t="str">
        <f>IF(AH706="", "", SUM($AH$4:AH706))</f>
        <v/>
      </c>
      <c r="AJ706" s="9"/>
    </row>
    <row r="707" spans="1:36">
      <c r="A707" s="7"/>
      <c r="X707" s="6" t="str">
        <f>IF(Table1[[#This Row],[WHRS NET KW TOTAL]]&lt;&gt;0,Table1[[#This Row],[WHRS NET KW TOTAL]]-U706,"")</f>
        <v/>
      </c>
      <c r="Y707" s="6" t="b">
        <f>IF(AND(Table1[[#This Row],[WHRS KW RECOVERED PER DAY]]&lt;&gt;0,Table1[[#This Row],[WHRS RH]]&lt;&gt;0),ROUND(Table1[[#This Row],[WHRS KW RECOVERED PER DAY]]/Table1[[#This Row],[WHRS RH]],1))</f>
        <v>0</v>
      </c>
      <c r="Z707" s="8"/>
      <c r="AA707" s="1"/>
      <c r="AB707" s="1"/>
      <c r="AC707" s="1"/>
      <c r="AD707" s="1"/>
      <c r="AE707" s="1"/>
      <c r="AF707" s="1"/>
      <c r="AG707" s="1" t="str">
        <f t="shared" si="30"/>
        <v/>
      </c>
      <c r="AH707" s="1" t="str">
        <f t="shared" si="31"/>
        <v/>
      </c>
      <c r="AI707" s="1" t="str">
        <f>IF(AH707="", "", SUM($AH$4:AH707))</f>
        <v/>
      </c>
      <c r="AJ707" s="9"/>
    </row>
    <row r="708" spans="1:36">
      <c r="A708" s="7"/>
      <c r="X708" s="6" t="str">
        <f>IF(Table1[[#This Row],[WHRS NET KW TOTAL]]&lt;&gt;0,Table1[[#This Row],[WHRS NET KW TOTAL]]-U707,"")</f>
        <v/>
      </c>
      <c r="Y708" s="6" t="b">
        <f>IF(AND(Table1[[#This Row],[WHRS KW RECOVERED PER DAY]]&lt;&gt;0,Table1[[#This Row],[WHRS RH]]&lt;&gt;0),ROUND(Table1[[#This Row],[WHRS KW RECOVERED PER DAY]]/Table1[[#This Row],[WHRS RH]],1))</f>
        <v>0</v>
      </c>
      <c r="Z708" s="8"/>
      <c r="AA708" s="1"/>
      <c r="AB708" s="1"/>
      <c r="AC708" s="1"/>
      <c r="AD708" s="1"/>
      <c r="AE708" s="1"/>
      <c r="AF708" s="1"/>
      <c r="AG708" s="1" t="str">
        <f t="shared" si="30"/>
        <v/>
      </c>
      <c r="AH708" s="1" t="str">
        <f t="shared" si="31"/>
        <v/>
      </c>
      <c r="AI708" s="1" t="str">
        <f>IF(AH708="", "", SUM($AH$4:AH708))</f>
        <v/>
      </c>
      <c r="AJ708" s="9"/>
    </row>
    <row r="709" spans="1:36">
      <c r="A709" s="7"/>
      <c r="X709" s="6" t="str">
        <f>IF(Table1[[#This Row],[WHRS NET KW TOTAL]]&lt;&gt;0,Table1[[#This Row],[WHRS NET KW TOTAL]]-U708,"")</f>
        <v/>
      </c>
      <c r="Y709" s="6" t="b">
        <f>IF(AND(Table1[[#This Row],[WHRS KW RECOVERED PER DAY]]&lt;&gt;0,Table1[[#This Row],[WHRS RH]]&lt;&gt;0),ROUND(Table1[[#This Row],[WHRS KW RECOVERED PER DAY]]/Table1[[#This Row],[WHRS RH]],1))</f>
        <v>0</v>
      </c>
      <c r="Z709" s="8"/>
      <c r="AA709" s="1"/>
      <c r="AB709" s="1"/>
      <c r="AC709" s="1"/>
      <c r="AD709" s="1"/>
      <c r="AE709" s="1"/>
      <c r="AF709" s="1"/>
      <c r="AG709" s="1" t="str">
        <f t="shared" ref="AG709:AG772" si="32">IF(C709="", "", _xlfn.IFS(C709="LNG", 1345, C709="LSMGO", 1280, C709="VLSFO", 820, C709="HSFO", 635, TRUE, ""))</f>
        <v/>
      </c>
      <c r="AH709" s="1" t="str">
        <f t="shared" ref="AH709:AH772" si="33">IF(OR(W709="", AF709="", AG709=""), "", W709 * (AF709 / 1000000) * AG709)</f>
        <v/>
      </c>
      <c r="AI709" s="1" t="str">
        <f>IF(AH709="", "", SUM($AH$4:AH709))</f>
        <v/>
      </c>
      <c r="AJ709" s="9"/>
    </row>
    <row r="710" spans="1:36">
      <c r="A710" s="7"/>
      <c r="X710" s="6" t="str">
        <f>IF(Table1[[#This Row],[WHRS NET KW TOTAL]]&lt;&gt;0,Table1[[#This Row],[WHRS NET KW TOTAL]]-U709,"")</f>
        <v/>
      </c>
      <c r="Y710" s="6" t="b">
        <f>IF(AND(Table1[[#This Row],[WHRS KW RECOVERED PER DAY]]&lt;&gt;0,Table1[[#This Row],[WHRS RH]]&lt;&gt;0),ROUND(Table1[[#This Row],[WHRS KW RECOVERED PER DAY]]/Table1[[#This Row],[WHRS RH]],1))</f>
        <v>0</v>
      </c>
      <c r="Z710" s="8"/>
      <c r="AA710" s="1"/>
      <c r="AB710" s="1"/>
      <c r="AC710" s="1"/>
      <c r="AD710" s="1"/>
      <c r="AE710" s="1"/>
      <c r="AF710" s="1"/>
      <c r="AG710" s="1" t="str">
        <f t="shared" si="32"/>
        <v/>
      </c>
      <c r="AH710" s="1" t="str">
        <f t="shared" si="33"/>
        <v/>
      </c>
      <c r="AI710" s="1" t="str">
        <f>IF(AH710="", "", SUM($AH$4:AH710))</f>
        <v/>
      </c>
      <c r="AJ710" s="9"/>
    </row>
    <row r="711" spans="1:36">
      <c r="A711" s="7"/>
      <c r="X711" s="6" t="str">
        <f>IF(Table1[[#This Row],[WHRS NET KW TOTAL]]&lt;&gt;0,Table1[[#This Row],[WHRS NET KW TOTAL]]-U710,"")</f>
        <v/>
      </c>
      <c r="Y711" s="6" t="b">
        <f>IF(AND(Table1[[#This Row],[WHRS KW RECOVERED PER DAY]]&lt;&gt;0,Table1[[#This Row],[WHRS RH]]&lt;&gt;0),ROUND(Table1[[#This Row],[WHRS KW RECOVERED PER DAY]]/Table1[[#This Row],[WHRS RH]],1))</f>
        <v>0</v>
      </c>
      <c r="Z711" s="8"/>
      <c r="AA711" s="1"/>
      <c r="AB711" s="1"/>
      <c r="AC711" s="1"/>
      <c r="AD711" s="1"/>
      <c r="AE711" s="1"/>
      <c r="AF711" s="1"/>
      <c r="AG711" s="1" t="str">
        <f t="shared" si="32"/>
        <v/>
      </c>
      <c r="AH711" s="1" t="str">
        <f t="shared" si="33"/>
        <v/>
      </c>
      <c r="AI711" s="1" t="str">
        <f>IF(AH711="", "", SUM($AH$4:AH711))</f>
        <v/>
      </c>
      <c r="AJ711" s="9"/>
    </row>
    <row r="712" spans="1:36">
      <c r="A712" s="7"/>
      <c r="X712" s="6" t="str">
        <f>IF(Table1[[#This Row],[WHRS NET KW TOTAL]]&lt;&gt;0,Table1[[#This Row],[WHRS NET KW TOTAL]]-U711,"")</f>
        <v/>
      </c>
      <c r="Y712" s="6" t="b">
        <f>IF(AND(Table1[[#This Row],[WHRS KW RECOVERED PER DAY]]&lt;&gt;0,Table1[[#This Row],[WHRS RH]]&lt;&gt;0),ROUND(Table1[[#This Row],[WHRS KW RECOVERED PER DAY]]/Table1[[#This Row],[WHRS RH]],1))</f>
        <v>0</v>
      </c>
      <c r="Z712" s="8"/>
      <c r="AA712" s="1"/>
      <c r="AB712" s="1"/>
      <c r="AC712" s="1"/>
      <c r="AD712" s="1"/>
      <c r="AE712" s="1"/>
      <c r="AF712" s="1"/>
      <c r="AG712" s="1" t="str">
        <f t="shared" si="32"/>
        <v/>
      </c>
      <c r="AH712" s="1" t="str">
        <f t="shared" si="33"/>
        <v/>
      </c>
      <c r="AI712" s="1" t="str">
        <f>IF(AH712="", "", SUM($AH$4:AH712))</f>
        <v/>
      </c>
      <c r="AJ712" s="9"/>
    </row>
    <row r="713" spans="1:36">
      <c r="A713" s="7"/>
      <c r="X713" s="6" t="str">
        <f>IF(Table1[[#This Row],[WHRS NET KW TOTAL]]&lt;&gt;0,Table1[[#This Row],[WHRS NET KW TOTAL]]-U712,"")</f>
        <v/>
      </c>
      <c r="Y713" s="6" t="b">
        <f>IF(AND(Table1[[#This Row],[WHRS KW RECOVERED PER DAY]]&lt;&gt;0,Table1[[#This Row],[WHRS RH]]&lt;&gt;0),ROUND(Table1[[#This Row],[WHRS KW RECOVERED PER DAY]]/Table1[[#This Row],[WHRS RH]],1))</f>
        <v>0</v>
      </c>
      <c r="Z713" s="8"/>
      <c r="AA713" s="1"/>
      <c r="AB713" s="1"/>
      <c r="AC713" s="1"/>
      <c r="AD713" s="1"/>
      <c r="AE713" s="1"/>
      <c r="AF713" s="1"/>
      <c r="AG713" s="1" t="str">
        <f t="shared" si="32"/>
        <v/>
      </c>
      <c r="AH713" s="1" t="str">
        <f t="shared" si="33"/>
        <v/>
      </c>
      <c r="AI713" s="1" t="str">
        <f>IF(AH713="", "", SUM($AH$4:AH713))</f>
        <v/>
      </c>
      <c r="AJ713" s="9"/>
    </row>
    <row r="714" spans="1:36">
      <c r="A714" s="7"/>
      <c r="X714" s="6" t="str">
        <f>IF(Table1[[#This Row],[WHRS NET KW TOTAL]]&lt;&gt;0,Table1[[#This Row],[WHRS NET KW TOTAL]]-U713,"")</f>
        <v/>
      </c>
      <c r="Y714" s="6" t="b">
        <f>IF(AND(Table1[[#This Row],[WHRS KW RECOVERED PER DAY]]&lt;&gt;0,Table1[[#This Row],[WHRS RH]]&lt;&gt;0),ROUND(Table1[[#This Row],[WHRS KW RECOVERED PER DAY]]/Table1[[#This Row],[WHRS RH]],1))</f>
        <v>0</v>
      </c>
      <c r="Z714" s="8"/>
      <c r="AA714" s="1"/>
      <c r="AB714" s="1"/>
      <c r="AC714" s="1"/>
      <c r="AD714" s="1"/>
      <c r="AE714" s="1"/>
      <c r="AF714" s="1"/>
      <c r="AG714" s="1" t="str">
        <f t="shared" si="32"/>
        <v/>
      </c>
      <c r="AH714" s="1" t="str">
        <f t="shared" si="33"/>
        <v/>
      </c>
      <c r="AI714" s="1" t="str">
        <f>IF(AH714="", "", SUM($AH$4:AH714))</f>
        <v/>
      </c>
      <c r="AJ714" s="9"/>
    </row>
    <row r="715" spans="1:36">
      <c r="A715" s="7"/>
      <c r="X715" s="6" t="str">
        <f>IF(Table1[[#This Row],[WHRS NET KW TOTAL]]&lt;&gt;0,Table1[[#This Row],[WHRS NET KW TOTAL]]-U714,"")</f>
        <v/>
      </c>
      <c r="Y715" s="6" t="b">
        <f>IF(AND(Table1[[#This Row],[WHRS KW RECOVERED PER DAY]]&lt;&gt;0,Table1[[#This Row],[WHRS RH]]&lt;&gt;0),ROUND(Table1[[#This Row],[WHRS KW RECOVERED PER DAY]]/Table1[[#This Row],[WHRS RH]],1))</f>
        <v>0</v>
      </c>
      <c r="Z715" s="8"/>
      <c r="AA715" s="1"/>
      <c r="AB715" s="1"/>
      <c r="AC715" s="1"/>
      <c r="AD715" s="1"/>
      <c r="AE715" s="1"/>
      <c r="AF715" s="1"/>
      <c r="AG715" s="1" t="str">
        <f t="shared" si="32"/>
        <v/>
      </c>
      <c r="AH715" s="1" t="str">
        <f t="shared" si="33"/>
        <v/>
      </c>
      <c r="AI715" s="1" t="str">
        <f>IF(AH715="", "", SUM($AH$4:AH715))</f>
        <v/>
      </c>
      <c r="AJ715" s="9"/>
    </row>
    <row r="716" spans="1:36">
      <c r="A716" s="7"/>
      <c r="X716" s="6" t="str">
        <f>IF(Table1[[#This Row],[WHRS NET KW TOTAL]]&lt;&gt;0,Table1[[#This Row],[WHRS NET KW TOTAL]]-U715,"")</f>
        <v/>
      </c>
      <c r="Y716" s="6" t="b">
        <f>IF(AND(Table1[[#This Row],[WHRS KW RECOVERED PER DAY]]&lt;&gt;0,Table1[[#This Row],[WHRS RH]]&lt;&gt;0),ROUND(Table1[[#This Row],[WHRS KW RECOVERED PER DAY]]/Table1[[#This Row],[WHRS RH]],1))</f>
        <v>0</v>
      </c>
      <c r="Z716" s="8"/>
      <c r="AA716" s="1"/>
      <c r="AB716" s="1"/>
      <c r="AC716" s="1"/>
      <c r="AD716" s="1"/>
      <c r="AE716" s="1"/>
      <c r="AF716" s="1"/>
      <c r="AG716" s="1" t="str">
        <f t="shared" si="32"/>
        <v/>
      </c>
      <c r="AH716" s="1" t="str">
        <f t="shared" si="33"/>
        <v/>
      </c>
      <c r="AI716" s="1" t="str">
        <f>IF(AH716="", "", SUM($AH$4:AH716))</f>
        <v/>
      </c>
      <c r="AJ716" s="9"/>
    </row>
    <row r="717" spans="1:36">
      <c r="A717" s="7"/>
      <c r="X717" s="6" t="str">
        <f>IF(Table1[[#This Row],[WHRS NET KW TOTAL]]&lt;&gt;0,Table1[[#This Row],[WHRS NET KW TOTAL]]-U716,"")</f>
        <v/>
      </c>
      <c r="Y717" s="6" t="b">
        <f>IF(AND(Table1[[#This Row],[WHRS KW RECOVERED PER DAY]]&lt;&gt;0,Table1[[#This Row],[WHRS RH]]&lt;&gt;0),ROUND(Table1[[#This Row],[WHRS KW RECOVERED PER DAY]]/Table1[[#This Row],[WHRS RH]],1))</f>
        <v>0</v>
      </c>
      <c r="Z717" s="8"/>
      <c r="AA717" s="1"/>
      <c r="AB717" s="1"/>
      <c r="AC717" s="1"/>
      <c r="AD717" s="1"/>
      <c r="AE717" s="1"/>
      <c r="AF717" s="1"/>
      <c r="AG717" s="1" t="str">
        <f t="shared" si="32"/>
        <v/>
      </c>
      <c r="AH717" s="1" t="str">
        <f t="shared" si="33"/>
        <v/>
      </c>
      <c r="AI717" s="1" t="str">
        <f>IF(AH717="", "", SUM($AH$4:AH717))</f>
        <v/>
      </c>
      <c r="AJ717" s="9"/>
    </row>
    <row r="718" spans="1:36">
      <c r="A718" s="7"/>
      <c r="X718" s="6" t="str">
        <f>IF(Table1[[#This Row],[WHRS NET KW TOTAL]]&lt;&gt;0,Table1[[#This Row],[WHRS NET KW TOTAL]]-U717,"")</f>
        <v/>
      </c>
      <c r="Y718" s="6" t="b">
        <f>IF(AND(Table1[[#This Row],[WHRS KW RECOVERED PER DAY]]&lt;&gt;0,Table1[[#This Row],[WHRS RH]]&lt;&gt;0),ROUND(Table1[[#This Row],[WHRS KW RECOVERED PER DAY]]/Table1[[#This Row],[WHRS RH]],1))</f>
        <v>0</v>
      </c>
      <c r="Z718" s="8"/>
      <c r="AA718" s="1"/>
      <c r="AB718" s="1"/>
      <c r="AC718" s="1"/>
      <c r="AD718" s="1"/>
      <c r="AE718" s="1"/>
      <c r="AF718" s="1"/>
      <c r="AG718" s="1" t="str">
        <f t="shared" si="32"/>
        <v/>
      </c>
      <c r="AH718" s="1" t="str">
        <f t="shared" si="33"/>
        <v/>
      </c>
      <c r="AI718" s="1" t="str">
        <f>IF(AH718="", "", SUM($AH$4:AH718))</f>
        <v/>
      </c>
      <c r="AJ718" s="9"/>
    </row>
    <row r="719" spans="1:36">
      <c r="A719" s="7"/>
      <c r="X719" s="6" t="str">
        <f>IF(Table1[[#This Row],[WHRS NET KW TOTAL]]&lt;&gt;0,Table1[[#This Row],[WHRS NET KW TOTAL]]-U718,"")</f>
        <v/>
      </c>
      <c r="Y719" s="6" t="b">
        <f>IF(AND(Table1[[#This Row],[WHRS KW RECOVERED PER DAY]]&lt;&gt;0,Table1[[#This Row],[WHRS RH]]&lt;&gt;0),ROUND(Table1[[#This Row],[WHRS KW RECOVERED PER DAY]]/Table1[[#This Row],[WHRS RH]],1))</f>
        <v>0</v>
      </c>
      <c r="Z719" s="8"/>
      <c r="AA719" s="1"/>
      <c r="AB719" s="1"/>
      <c r="AC719" s="1"/>
      <c r="AD719" s="1"/>
      <c r="AE719" s="1"/>
      <c r="AF719" s="1"/>
      <c r="AG719" s="1" t="str">
        <f t="shared" si="32"/>
        <v/>
      </c>
      <c r="AH719" s="1" t="str">
        <f t="shared" si="33"/>
        <v/>
      </c>
      <c r="AI719" s="1" t="str">
        <f>IF(AH719="", "", SUM($AH$4:AH719))</f>
        <v/>
      </c>
      <c r="AJ719" s="9"/>
    </row>
    <row r="720" spans="1:36">
      <c r="A720" s="7"/>
      <c r="X720" s="6" t="str">
        <f>IF(Table1[[#This Row],[WHRS NET KW TOTAL]]&lt;&gt;0,Table1[[#This Row],[WHRS NET KW TOTAL]]-U719,"")</f>
        <v/>
      </c>
      <c r="Y720" s="6" t="b">
        <f>IF(AND(Table1[[#This Row],[WHRS KW RECOVERED PER DAY]]&lt;&gt;0,Table1[[#This Row],[WHRS RH]]&lt;&gt;0),ROUND(Table1[[#This Row],[WHRS KW RECOVERED PER DAY]]/Table1[[#This Row],[WHRS RH]],1))</f>
        <v>0</v>
      </c>
      <c r="Z720" s="8"/>
      <c r="AA720" s="1"/>
      <c r="AB720" s="1"/>
      <c r="AC720" s="1"/>
      <c r="AD720" s="1"/>
      <c r="AE720" s="1"/>
      <c r="AF720" s="1"/>
      <c r="AG720" s="1" t="str">
        <f t="shared" si="32"/>
        <v/>
      </c>
      <c r="AH720" s="1" t="str">
        <f t="shared" si="33"/>
        <v/>
      </c>
      <c r="AI720" s="1" t="str">
        <f>IF(AH720="", "", SUM($AH$4:AH720))</f>
        <v/>
      </c>
      <c r="AJ720" s="9"/>
    </row>
    <row r="721" spans="1:36">
      <c r="A721" s="7"/>
      <c r="X721" s="6" t="str">
        <f>IF(Table1[[#This Row],[WHRS NET KW TOTAL]]&lt;&gt;0,Table1[[#This Row],[WHRS NET KW TOTAL]]-U720,"")</f>
        <v/>
      </c>
      <c r="Y721" s="6" t="b">
        <f>IF(AND(Table1[[#This Row],[WHRS KW RECOVERED PER DAY]]&lt;&gt;0,Table1[[#This Row],[WHRS RH]]&lt;&gt;0),ROUND(Table1[[#This Row],[WHRS KW RECOVERED PER DAY]]/Table1[[#This Row],[WHRS RH]],1))</f>
        <v>0</v>
      </c>
      <c r="Z721" s="8"/>
      <c r="AA721" s="1"/>
      <c r="AB721" s="1"/>
      <c r="AC721" s="1"/>
      <c r="AD721" s="1"/>
      <c r="AE721" s="1"/>
      <c r="AF721" s="1"/>
      <c r="AG721" s="1" t="str">
        <f t="shared" si="32"/>
        <v/>
      </c>
      <c r="AH721" s="1" t="str">
        <f t="shared" si="33"/>
        <v/>
      </c>
      <c r="AI721" s="1" t="str">
        <f>IF(AH721="", "", SUM($AH$4:AH721))</f>
        <v/>
      </c>
      <c r="AJ721" s="9"/>
    </row>
    <row r="722" spans="1:36">
      <c r="A722" s="7"/>
      <c r="X722" s="6" t="str">
        <f>IF(Table1[[#This Row],[WHRS NET KW TOTAL]]&lt;&gt;0,Table1[[#This Row],[WHRS NET KW TOTAL]]-U721,"")</f>
        <v/>
      </c>
      <c r="Y722" s="6" t="b">
        <f>IF(AND(Table1[[#This Row],[WHRS KW RECOVERED PER DAY]]&lt;&gt;0,Table1[[#This Row],[WHRS RH]]&lt;&gt;0),ROUND(Table1[[#This Row],[WHRS KW RECOVERED PER DAY]]/Table1[[#This Row],[WHRS RH]],1))</f>
        <v>0</v>
      </c>
      <c r="Z722" s="8"/>
      <c r="AA722" s="1"/>
      <c r="AB722" s="1"/>
      <c r="AC722" s="1"/>
      <c r="AD722" s="1"/>
      <c r="AE722" s="1"/>
      <c r="AF722" s="1"/>
      <c r="AG722" s="1" t="str">
        <f t="shared" si="32"/>
        <v/>
      </c>
      <c r="AH722" s="1" t="str">
        <f t="shared" si="33"/>
        <v/>
      </c>
      <c r="AI722" s="1" t="str">
        <f>IF(AH722="", "", SUM($AH$4:AH722))</f>
        <v/>
      </c>
      <c r="AJ722" s="9"/>
    </row>
    <row r="723" spans="1:36">
      <c r="A723" s="7"/>
      <c r="X723" s="6" t="str">
        <f>IF(Table1[[#This Row],[WHRS NET KW TOTAL]]&lt;&gt;0,Table1[[#This Row],[WHRS NET KW TOTAL]]-U722,"")</f>
        <v/>
      </c>
      <c r="Y723" s="6" t="b">
        <f>IF(AND(Table1[[#This Row],[WHRS KW RECOVERED PER DAY]]&lt;&gt;0,Table1[[#This Row],[WHRS RH]]&lt;&gt;0),ROUND(Table1[[#This Row],[WHRS KW RECOVERED PER DAY]]/Table1[[#This Row],[WHRS RH]],1))</f>
        <v>0</v>
      </c>
      <c r="Z723" s="8"/>
      <c r="AA723" s="1"/>
      <c r="AB723" s="1"/>
      <c r="AC723" s="1"/>
      <c r="AD723" s="1"/>
      <c r="AE723" s="1"/>
      <c r="AF723" s="1"/>
      <c r="AG723" s="1" t="str">
        <f t="shared" si="32"/>
        <v/>
      </c>
      <c r="AH723" s="1" t="str">
        <f t="shared" si="33"/>
        <v/>
      </c>
      <c r="AI723" s="1" t="str">
        <f>IF(AH723="", "", SUM($AH$4:AH723))</f>
        <v/>
      </c>
      <c r="AJ723" s="9"/>
    </row>
    <row r="724" spans="1:36">
      <c r="A724" s="7"/>
      <c r="X724" s="6" t="str">
        <f>IF(Table1[[#This Row],[WHRS NET KW TOTAL]]&lt;&gt;0,Table1[[#This Row],[WHRS NET KW TOTAL]]-U723,"")</f>
        <v/>
      </c>
      <c r="Y724" s="6" t="b">
        <f>IF(AND(Table1[[#This Row],[WHRS KW RECOVERED PER DAY]]&lt;&gt;0,Table1[[#This Row],[WHRS RH]]&lt;&gt;0),ROUND(Table1[[#This Row],[WHRS KW RECOVERED PER DAY]]/Table1[[#This Row],[WHRS RH]],1))</f>
        <v>0</v>
      </c>
      <c r="Z724" s="8"/>
      <c r="AA724" s="1"/>
      <c r="AB724" s="1"/>
      <c r="AC724" s="1"/>
      <c r="AD724" s="1"/>
      <c r="AE724" s="1"/>
      <c r="AF724" s="1"/>
      <c r="AG724" s="1" t="str">
        <f t="shared" si="32"/>
        <v/>
      </c>
      <c r="AH724" s="1" t="str">
        <f t="shared" si="33"/>
        <v/>
      </c>
      <c r="AI724" s="1" t="str">
        <f>IF(AH724="", "", SUM($AH$4:AH724))</f>
        <v/>
      </c>
      <c r="AJ724" s="9"/>
    </row>
    <row r="725" spans="1:36">
      <c r="A725" s="7"/>
      <c r="X725" s="6" t="str">
        <f>IF(Table1[[#This Row],[WHRS NET KW TOTAL]]&lt;&gt;0,Table1[[#This Row],[WHRS NET KW TOTAL]]-U724,"")</f>
        <v/>
      </c>
      <c r="Y725" s="6" t="b">
        <f>IF(AND(Table1[[#This Row],[WHRS KW RECOVERED PER DAY]]&lt;&gt;0,Table1[[#This Row],[WHRS RH]]&lt;&gt;0),ROUND(Table1[[#This Row],[WHRS KW RECOVERED PER DAY]]/Table1[[#This Row],[WHRS RH]],1))</f>
        <v>0</v>
      </c>
      <c r="Z725" s="8"/>
      <c r="AA725" s="1"/>
      <c r="AB725" s="1"/>
      <c r="AC725" s="1"/>
      <c r="AD725" s="1"/>
      <c r="AE725" s="1"/>
      <c r="AF725" s="1"/>
      <c r="AG725" s="1" t="str">
        <f t="shared" si="32"/>
        <v/>
      </c>
      <c r="AH725" s="1" t="str">
        <f t="shared" si="33"/>
        <v/>
      </c>
      <c r="AI725" s="1" t="str">
        <f>IF(AH725="", "", SUM($AH$4:AH725))</f>
        <v/>
      </c>
      <c r="AJ725" s="9"/>
    </row>
    <row r="726" spans="1:36">
      <c r="A726" s="7"/>
      <c r="X726" s="6" t="str">
        <f>IF(Table1[[#This Row],[WHRS NET KW TOTAL]]&lt;&gt;0,Table1[[#This Row],[WHRS NET KW TOTAL]]-U725,"")</f>
        <v/>
      </c>
      <c r="Y726" s="6" t="b">
        <f>IF(AND(Table1[[#This Row],[WHRS KW RECOVERED PER DAY]]&lt;&gt;0,Table1[[#This Row],[WHRS RH]]&lt;&gt;0),ROUND(Table1[[#This Row],[WHRS KW RECOVERED PER DAY]]/Table1[[#This Row],[WHRS RH]],1))</f>
        <v>0</v>
      </c>
      <c r="Z726" s="8"/>
      <c r="AA726" s="1"/>
      <c r="AB726" s="1"/>
      <c r="AC726" s="1"/>
      <c r="AD726" s="1"/>
      <c r="AE726" s="1"/>
      <c r="AF726" s="1"/>
      <c r="AG726" s="1" t="str">
        <f t="shared" si="32"/>
        <v/>
      </c>
      <c r="AH726" s="1" t="str">
        <f t="shared" si="33"/>
        <v/>
      </c>
      <c r="AI726" s="1" t="str">
        <f>IF(AH726="", "", SUM($AH$4:AH726))</f>
        <v/>
      </c>
      <c r="AJ726" s="9"/>
    </row>
    <row r="727" spans="1:36">
      <c r="A727" s="7"/>
      <c r="X727" s="6" t="str">
        <f>IF(Table1[[#This Row],[WHRS NET KW TOTAL]]&lt;&gt;0,Table1[[#This Row],[WHRS NET KW TOTAL]]-U726,"")</f>
        <v/>
      </c>
      <c r="Y727" s="6" t="b">
        <f>IF(AND(Table1[[#This Row],[WHRS KW RECOVERED PER DAY]]&lt;&gt;0,Table1[[#This Row],[WHRS RH]]&lt;&gt;0),ROUND(Table1[[#This Row],[WHRS KW RECOVERED PER DAY]]/Table1[[#This Row],[WHRS RH]],1))</f>
        <v>0</v>
      </c>
      <c r="Z727" s="8"/>
      <c r="AA727" s="1"/>
      <c r="AB727" s="1"/>
      <c r="AC727" s="1"/>
      <c r="AD727" s="1"/>
      <c r="AE727" s="1"/>
      <c r="AF727" s="1"/>
      <c r="AG727" s="1" t="str">
        <f t="shared" si="32"/>
        <v/>
      </c>
      <c r="AH727" s="1" t="str">
        <f t="shared" si="33"/>
        <v/>
      </c>
      <c r="AI727" s="1" t="str">
        <f>IF(AH727="", "", SUM($AH$4:AH727))</f>
        <v/>
      </c>
      <c r="AJ727" s="9"/>
    </row>
    <row r="728" spans="1:36">
      <c r="A728" s="7"/>
      <c r="X728" s="6" t="str">
        <f>IF(Table1[[#This Row],[WHRS NET KW TOTAL]]&lt;&gt;0,Table1[[#This Row],[WHRS NET KW TOTAL]]-U727,"")</f>
        <v/>
      </c>
      <c r="Y728" s="6" t="b">
        <f>IF(AND(Table1[[#This Row],[WHRS KW RECOVERED PER DAY]]&lt;&gt;0,Table1[[#This Row],[WHRS RH]]&lt;&gt;0),ROUND(Table1[[#This Row],[WHRS KW RECOVERED PER DAY]]/Table1[[#This Row],[WHRS RH]],1))</f>
        <v>0</v>
      </c>
      <c r="Z728" s="8"/>
      <c r="AA728" s="1"/>
      <c r="AB728" s="1"/>
      <c r="AC728" s="1"/>
      <c r="AD728" s="1"/>
      <c r="AE728" s="1"/>
      <c r="AF728" s="1"/>
      <c r="AG728" s="1" t="str">
        <f t="shared" si="32"/>
        <v/>
      </c>
      <c r="AH728" s="1" t="str">
        <f t="shared" si="33"/>
        <v/>
      </c>
      <c r="AI728" s="1" t="str">
        <f>IF(AH728="", "", SUM($AH$4:AH728))</f>
        <v/>
      </c>
      <c r="AJ728" s="9"/>
    </row>
    <row r="729" spans="1:36">
      <c r="A729" s="7"/>
      <c r="X729" s="6" t="str">
        <f>IF(Table1[[#This Row],[WHRS NET KW TOTAL]]&lt;&gt;0,Table1[[#This Row],[WHRS NET KW TOTAL]]-U728,"")</f>
        <v/>
      </c>
      <c r="Y729" s="6" t="b">
        <f>IF(AND(Table1[[#This Row],[WHRS KW RECOVERED PER DAY]]&lt;&gt;0,Table1[[#This Row],[WHRS RH]]&lt;&gt;0),ROUND(Table1[[#This Row],[WHRS KW RECOVERED PER DAY]]/Table1[[#This Row],[WHRS RH]],1))</f>
        <v>0</v>
      </c>
      <c r="Z729" s="8"/>
      <c r="AA729" s="1"/>
      <c r="AB729" s="1"/>
      <c r="AC729" s="1"/>
      <c r="AD729" s="1"/>
      <c r="AE729" s="1"/>
      <c r="AF729" s="1"/>
      <c r="AG729" s="1" t="str">
        <f t="shared" si="32"/>
        <v/>
      </c>
      <c r="AH729" s="1" t="str">
        <f t="shared" si="33"/>
        <v/>
      </c>
      <c r="AI729" s="1" t="str">
        <f>IF(AH729="", "", SUM($AH$4:AH729))</f>
        <v/>
      </c>
      <c r="AJ729" s="9"/>
    </row>
    <row r="730" spans="1:36">
      <c r="A730" s="7"/>
      <c r="X730" s="6" t="str">
        <f>IF(Table1[[#This Row],[WHRS NET KW TOTAL]]&lt;&gt;0,Table1[[#This Row],[WHRS NET KW TOTAL]]-U729,"")</f>
        <v/>
      </c>
      <c r="Y730" s="6" t="b">
        <f>IF(AND(Table1[[#This Row],[WHRS KW RECOVERED PER DAY]]&lt;&gt;0,Table1[[#This Row],[WHRS RH]]&lt;&gt;0),ROUND(Table1[[#This Row],[WHRS KW RECOVERED PER DAY]]/Table1[[#This Row],[WHRS RH]],1))</f>
        <v>0</v>
      </c>
      <c r="Z730" s="8"/>
      <c r="AA730" s="1"/>
      <c r="AB730" s="1"/>
      <c r="AC730" s="1"/>
      <c r="AD730" s="1"/>
      <c r="AE730" s="1"/>
      <c r="AF730" s="1"/>
      <c r="AG730" s="1" t="str">
        <f t="shared" si="32"/>
        <v/>
      </c>
      <c r="AH730" s="1" t="str">
        <f t="shared" si="33"/>
        <v/>
      </c>
      <c r="AI730" s="1" t="str">
        <f>IF(AH730="", "", SUM($AH$4:AH730))</f>
        <v/>
      </c>
      <c r="AJ730" s="9"/>
    </row>
    <row r="731" spans="1:36">
      <c r="A731" s="7"/>
      <c r="X731" s="6" t="str">
        <f>IF(Table1[[#This Row],[WHRS NET KW TOTAL]]&lt;&gt;0,Table1[[#This Row],[WHRS NET KW TOTAL]]-U730,"")</f>
        <v/>
      </c>
      <c r="Y731" s="6" t="b">
        <f>IF(AND(Table1[[#This Row],[WHRS KW RECOVERED PER DAY]]&lt;&gt;0,Table1[[#This Row],[WHRS RH]]&lt;&gt;0),ROUND(Table1[[#This Row],[WHRS KW RECOVERED PER DAY]]/Table1[[#This Row],[WHRS RH]],1))</f>
        <v>0</v>
      </c>
      <c r="Z731" s="8"/>
      <c r="AA731" s="1"/>
      <c r="AB731" s="1"/>
      <c r="AC731" s="1"/>
      <c r="AD731" s="1"/>
      <c r="AE731" s="1"/>
      <c r="AF731" s="1"/>
      <c r="AG731" s="1" t="str">
        <f t="shared" si="32"/>
        <v/>
      </c>
      <c r="AH731" s="1" t="str">
        <f t="shared" si="33"/>
        <v/>
      </c>
      <c r="AI731" s="1" t="str">
        <f>IF(AH731="", "", SUM($AH$4:AH731))</f>
        <v/>
      </c>
      <c r="AJ731" s="9"/>
    </row>
    <row r="732" spans="1:36">
      <c r="A732" s="7"/>
      <c r="X732" s="6" t="str">
        <f>IF(Table1[[#This Row],[WHRS NET KW TOTAL]]&lt;&gt;0,Table1[[#This Row],[WHRS NET KW TOTAL]]-U731,"")</f>
        <v/>
      </c>
      <c r="Y732" s="6" t="b">
        <f>IF(AND(Table1[[#This Row],[WHRS KW RECOVERED PER DAY]]&lt;&gt;0,Table1[[#This Row],[WHRS RH]]&lt;&gt;0),ROUND(Table1[[#This Row],[WHRS KW RECOVERED PER DAY]]/Table1[[#This Row],[WHRS RH]],1))</f>
        <v>0</v>
      </c>
      <c r="Z732" s="8"/>
      <c r="AA732" s="1"/>
      <c r="AB732" s="1"/>
      <c r="AC732" s="1"/>
      <c r="AD732" s="1"/>
      <c r="AE732" s="1"/>
      <c r="AF732" s="1"/>
      <c r="AG732" s="1" t="str">
        <f t="shared" si="32"/>
        <v/>
      </c>
      <c r="AH732" s="1" t="str">
        <f t="shared" si="33"/>
        <v/>
      </c>
      <c r="AI732" s="1" t="str">
        <f>IF(AH732="", "", SUM($AH$4:AH732))</f>
        <v/>
      </c>
      <c r="AJ732" s="9"/>
    </row>
    <row r="733" spans="1:36">
      <c r="A733" s="7"/>
      <c r="X733" s="6" t="str">
        <f>IF(Table1[[#This Row],[WHRS NET KW TOTAL]]&lt;&gt;0,Table1[[#This Row],[WHRS NET KW TOTAL]]-U732,"")</f>
        <v/>
      </c>
      <c r="Y733" s="6" t="b">
        <f>IF(AND(Table1[[#This Row],[WHRS KW RECOVERED PER DAY]]&lt;&gt;0,Table1[[#This Row],[WHRS RH]]&lt;&gt;0),ROUND(Table1[[#This Row],[WHRS KW RECOVERED PER DAY]]/Table1[[#This Row],[WHRS RH]],1))</f>
        <v>0</v>
      </c>
      <c r="Z733" s="8"/>
      <c r="AA733" s="1"/>
      <c r="AB733" s="1"/>
      <c r="AC733" s="1"/>
      <c r="AD733" s="1"/>
      <c r="AE733" s="1"/>
      <c r="AF733" s="1"/>
      <c r="AG733" s="1" t="str">
        <f t="shared" si="32"/>
        <v/>
      </c>
      <c r="AH733" s="1" t="str">
        <f t="shared" si="33"/>
        <v/>
      </c>
      <c r="AI733" s="1" t="str">
        <f>IF(AH733="", "", SUM($AH$4:AH733))</f>
        <v/>
      </c>
      <c r="AJ733" s="9"/>
    </row>
    <row r="734" spans="1:36">
      <c r="A734" s="7"/>
      <c r="X734" s="6" t="str">
        <f>IF(Table1[[#This Row],[WHRS NET KW TOTAL]]&lt;&gt;0,Table1[[#This Row],[WHRS NET KW TOTAL]]-U733,"")</f>
        <v/>
      </c>
      <c r="Y734" s="6" t="b">
        <f>IF(AND(Table1[[#This Row],[WHRS KW RECOVERED PER DAY]]&lt;&gt;0,Table1[[#This Row],[WHRS RH]]&lt;&gt;0),ROUND(Table1[[#This Row],[WHRS KW RECOVERED PER DAY]]/Table1[[#This Row],[WHRS RH]],1))</f>
        <v>0</v>
      </c>
      <c r="Z734" s="8"/>
      <c r="AA734" s="1"/>
      <c r="AB734" s="1"/>
      <c r="AC734" s="1"/>
      <c r="AD734" s="1"/>
      <c r="AE734" s="1"/>
      <c r="AF734" s="1"/>
      <c r="AG734" s="1" t="str">
        <f t="shared" si="32"/>
        <v/>
      </c>
      <c r="AH734" s="1" t="str">
        <f t="shared" si="33"/>
        <v/>
      </c>
      <c r="AI734" s="1" t="str">
        <f>IF(AH734="", "", SUM($AH$4:AH734))</f>
        <v/>
      </c>
      <c r="AJ734" s="9"/>
    </row>
    <row r="735" spans="1:36">
      <c r="A735" s="7"/>
      <c r="X735" s="6" t="str">
        <f>IF(Table1[[#This Row],[WHRS NET KW TOTAL]]&lt;&gt;0,Table1[[#This Row],[WHRS NET KW TOTAL]]-U734,"")</f>
        <v/>
      </c>
      <c r="Y735" s="6" t="b">
        <f>IF(AND(Table1[[#This Row],[WHRS KW RECOVERED PER DAY]]&lt;&gt;0,Table1[[#This Row],[WHRS RH]]&lt;&gt;0),ROUND(Table1[[#This Row],[WHRS KW RECOVERED PER DAY]]/Table1[[#This Row],[WHRS RH]],1))</f>
        <v>0</v>
      </c>
      <c r="Z735" s="8"/>
      <c r="AA735" s="1"/>
      <c r="AB735" s="1"/>
      <c r="AC735" s="1"/>
      <c r="AD735" s="1"/>
      <c r="AE735" s="1"/>
      <c r="AF735" s="1"/>
      <c r="AG735" s="1" t="str">
        <f t="shared" si="32"/>
        <v/>
      </c>
      <c r="AH735" s="1" t="str">
        <f t="shared" si="33"/>
        <v/>
      </c>
      <c r="AI735" s="1" t="str">
        <f>IF(AH735="", "", SUM($AH$4:AH735))</f>
        <v/>
      </c>
      <c r="AJ735" s="9"/>
    </row>
    <row r="736" spans="1:36">
      <c r="A736" s="7"/>
      <c r="X736" s="6" t="str">
        <f>IF(Table1[[#This Row],[WHRS NET KW TOTAL]]&lt;&gt;0,Table1[[#This Row],[WHRS NET KW TOTAL]]-U735,"")</f>
        <v/>
      </c>
      <c r="Y736" s="6" t="b">
        <f>IF(AND(Table1[[#This Row],[WHRS KW RECOVERED PER DAY]]&lt;&gt;0,Table1[[#This Row],[WHRS RH]]&lt;&gt;0),ROUND(Table1[[#This Row],[WHRS KW RECOVERED PER DAY]]/Table1[[#This Row],[WHRS RH]],1))</f>
        <v>0</v>
      </c>
      <c r="Z736" s="8"/>
      <c r="AA736" s="1"/>
      <c r="AB736" s="1"/>
      <c r="AC736" s="1"/>
      <c r="AD736" s="1"/>
      <c r="AE736" s="1"/>
      <c r="AF736" s="1"/>
      <c r="AG736" s="1" t="str">
        <f t="shared" si="32"/>
        <v/>
      </c>
      <c r="AH736" s="1" t="str">
        <f t="shared" si="33"/>
        <v/>
      </c>
      <c r="AI736" s="1" t="str">
        <f>IF(AH736="", "", SUM($AH$4:AH736))</f>
        <v/>
      </c>
      <c r="AJ736" s="9"/>
    </row>
    <row r="737" spans="1:36">
      <c r="A737" s="7"/>
      <c r="X737" s="6" t="str">
        <f>IF(Table1[[#This Row],[WHRS NET KW TOTAL]]&lt;&gt;0,Table1[[#This Row],[WHRS NET KW TOTAL]]-U736,"")</f>
        <v/>
      </c>
      <c r="Y737" s="6" t="b">
        <f>IF(AND(Table1[[#This Row],[WHRS KW RECOVERED PER DAY]]&lt;&gt;0,Table1[[#This Row],[WHRS RH]]&lt;&gt;0),ROUND(Table1[[#This Row],[WHRS KW RECOVERED PER DAY]]/Table1[[#This Row],[WHRS RH]],1))</f>
        <v>0</v>
      </c>
      <c r="Z737" s="8"/>
      <c r="AA737" s="1"/>
      <c r="AB737" s="1"/>
      <c r="AC737" s="1"/>
      <c r="AD737" s="1"/>
      <c r="AE737" s="1"/>
      <c r="AF737" s="1"/>
      <c r="AG737" s="1" t="str">
        <f t="shared" si="32"/>
        <v/>
      </c>
      <c r="AH737" s="1" t="str">
        <f t="shared" si="33"/>
        <v/>
      </c>
      <c r="AI737" s="1" t="str">
        <f>IF(AH737="", "", SUM($AH$4:AH737))</f>
        <v/>
      </c>
      <c r="AJ737" s="9"/>
    </row>
    <row r="738" spans="1:36">
      <c r="A738" s="7"/>
      <c r="X738" s="6" t="str">
        <f>IF(Table1[[#This Row],[WHRS NET KW TOTAL]]&lt;&gt;0,Table1[[#This Row],[WHRS NET KW TOTAL]]-U737,"")</f>
        <v/>
      </c>
      <c r="Y738" s="6" t="b">
        <f>IF(AND(Table1[[#This Row],[WHRS KW RECOVERED PER DAY]]&lt;&gt;0,Table1[[#This Row],[WHRS RH]]&lt;&gt;0),ROUND(Table1[[#This Row],[WHRS KW RECOVERED PER DAY]]/Table1[[#This Row],[WHRS RH]],1))</f>
        <v>0</v>
      </c>
      <c r="Z738" s="8"/>
      <c r="AA738" s="1"/>
      <c r="AB738" s="1"/>
      <c r="AC738" s="1"/>
      <c r="AD738" s="1"/>
      <c r="AE738" s="1"/>
      <c r="AF738" s="1"/>
      <c r="AG738" s="1" t="str">
        <f t="shared" si="32"/>
        <v/>
      </c>
      <c r="AH738" s="1" t="str">
        <f t="shared" si="33"/>
        <v/>
      </c>
      <c r="AI738" s="1" t="str">
        <f>IF(AH738="", "", SUM($AH$4:AH738))</f>
        <v/>
      </c>
      <c r="AJ738" s="9"/>
    </row>
    <row r="739" spans="1:36">
      <c r="A739" s="7"/>
      <c r="X739" s="6" t="str">
        <f>IF(Table1[[#This Row],[WHRS NET KW TOTAL]]&lt;&gt;0,Table1[[#This Row],[WHRS NET KW TOTAL]]-U738,"")</f>
        <v/>
      </c>
      <c r="Y739" s="6" t="b">
        <f>IF(AND(Table1[[#This Row],[WHRS KW RECOVERED PER DAY]]&lt;&gt;0,Table1[[#This Row],[WHRS RH]]&lt;&gt;0),ROUND(Table1[[#This Row],[WHRS KW RECOVERED PER DAY]]/Table1[[#This Row],[WHRS RH]],1))</f>
        <v>0</v>
      </c>
      <c r="Z739" s="8"/>
      <c r="AA739" s="1"/>
      <c r="AB739" s="1"/>
      <c r="AC739" s="1"/>
      <c r="AD739" s="1"/>
      <c r="AE739" s="1"/>
      <c r="AF739" s="1"/>
      <c r="AG739" s="1" t="str">
        <f t="shared" si="32"/>
        <v/>
      </c>
      <c r="AH739" s="1" t="str">
        <f t="shared" si="33"/>
        <v/>
      </c>
      <c r="AI739" s="1" t="str">
        <f>IF(AH739="", "", SUM($AH$4:AH739))</f>
        <v/>
      </c>
      <c r="AJ739" s="9"/>
    </row>
    <row r="740" spans="1:36">
      <c r="A740" s="7"/>
      <c r="X740" s="6" t="str">
        <f>IF(Table1[[#This Row],[WHRS NET KW TOTAL]]&lt;&gt;0,Table1[[#This Row],[WHRS NET KW TOTAL]]-U739,"")</f>
        <v/>
      </c>
      <c r="Y740" s="6" t="b">
        <f>IF(AND(Table1[[#This Row],[WHRS KW RECOVERED PER DAY]]&lt;&gt;0,Table1[[#This Row],[WHRS RH]]&lt;&gt;0),ROUND(Table1[[#This Row],[WHRS KW RECOVERED PER DAY]]/Table1[[#This Row],[WHRS RH]],1))</f>
        <v>0</v>
      </c>
      <c r="Z740" s="8"/>
      <c r="AA740" s="1"/>
      <c r="AB740" s="1"/>
      <c r="AC740" s="1"/>
      <c r="AD740" s="1"/>
      <c r="AE740" s="1"/>
      <c r="AF740" s="1"/>
      <c r="AG740" s="1" t="str">
        <f t="shared" si="32"/>
        <v/>
      </c>
      <c r="AH740" s="1" t="str">
        <f t="shared" si="33"/>
        <v/>
      </c>
      <c r="AI740" s="1" t="str">
        <f>IF(AH740="", "", SUM($AH$4:AH740))</f>
        <v/>
      </c>
      <c r="AJ740" s="9"/>
    </row>
    <row r="741" spans="1:36">
      <c r="A741" s="7"/>
      <c r="X741" s="6" t="str">
        <f>IF(Table1[[#This Row],[WHRS NET KW TOTAL]]&lt;&gt;0,Table1[[#This Row],[WHRS NET KW TOTAL]]-U740,"")</f>
        <v/>
      </c>
      <c r="Y741" s="6" t="b">
        <f>IF(AND(Table1[[#This Row],[WHRS KW RECOVERED PER DAY]]&lt;&gt;0,Table1[[#This Row],[WHRS RH]]&lt;&gt;0),ROUND(Table1[[#This Row],[WHRS KW RECOVERED PER DAY]]/Table1[[#This Row],[WHRS RH]],1))</f>
        <v>0</v>
      </c>
      <c r="Z741" s="8"/>
      <c r="AA741" s="1"/>
      <c r="AB741" s="1"/>
      <c r="AC741" s="1"/>
      <c r="AD741" s="1"/>
      <c r="AE741" s="1"/>
      <c r="AF741" s="1"/>
      <c r="AG741" s="1" t="str">
        <f t="shared" si="32"/>
        <v/>
      </c>
      <c r="AH741" s="1" t="str">
        <f t="shared" si="33"/>
        <v/>
      </c>
      <c r="AI741" s="1" t="str">
        <f>IF(AH741="", "", SUM($AH$4:AH741))</f>
        <v/>
      </c>
      <c r="AJ741" s="9"/>
    </row>
    <row r="742" spans="1:36">
      <c r="A742" s="7"/>
      <c r="X742" s="6" t="str">
        <f>IF(Table1[[#This Row],[WHRS NET KW TOTAL]]&lt;&gt;0,Table1[[#This Row],[WHRS NET KW TOTAL]]-U741,"")</f>
        <v/>
      </c>
      <c r="Y742" s="6" t="b">
        <f>IF(AND(Table1[[#This Row],[WHRS KW RECOVERED PER DAY]]&lt;&gt;0,Table1[[#This Row],[WHRS RH]]&lt;&gt;0),ROUND(Table1[[#This Row],[WHRS KW RECOVERED PER DAY]]/Table1[[#This Row],[WHRS RH]],1))</f>
        <v>0</v>
      </c>
      <c r="Z742" s="8"/>
      <c r="AA742" s="1"/>
      <c r="AB742" s="1"/>
      <c r="AC742" s="1"/>
      <c r="AD742" s="1"/>
      <c r="AE742" s="1"/>
      <c r="AF742" s="1"/>
      <c r="AG742" s="1" t="str">
        <f t="shared" si="32"/>
        <v/>
      </c>
      <c r="AH742" s="1" t="str">
        <f t="shared" si="33"/>
        <v/>
      </c>
      <c r="AI742" s="1" t="str">
        <f>IF(AH742="", "", SUM($AH$4:AH742))</f>
        <v/>
      </c>
      <c r="AJ742" s="9"/>
    </row>
    <row r="743" spans="1:36">
      <c r="A743" s="7"/>
      <c r="X743" s="6" t="str">
        <f>IF(Table1[[#This Row],[WHRS NET KW TOTAL]]&lt;&gt;0,Table1[[#This Row],[WHRS NET KW TOTAL]]-U742,"")</f>
        <v/>
      </c>
      <c r="Y743" s="6" t="b">
        <f>IF(AND(Table1[[#This Row],[WHRS KW RECOVERED PER DAY]]&lt;&gt;0,Table1[[#This Row],[WHRS RH]]&lt;&gt;0),ROUND(Table1[[#This Row],[WHRS KW RECOVERED PER DAY]]/Table1[[#This Row],[WHRS RH]],1))</f>
        <v>0</v>
      </c>
      <c r="Z743" s="8"/>
      <c r="AA743" s="1"/>
      <c r="AB743" s="1"/>
      <c r="AC743" s="1"/>
      <c r="AD743" s="1"/>
      <c r="AE743" s="1"/>
      <c r="AF743" s="1"/>
      <c r="AG743" s="1" t="str">
        <f t="shared" si="32"/>
        <v/>
      </c>
      <c r="AH743" s="1" t="str">
        <f t="shared" si="33"/>
        <v/>
      </c>
      <c r="AI743" s="1" t="str">
        <f>IF(AH743="", "", SUM($AH$4:AH743))</f>
        <v/>
      </c>
      <c r="AJ743" s="9"/>
    </row>
    <row r="744" spans="1:36">
      <c r="A744" s="7"/>
      <c r="X744" s="6" t="str">
        <f>IF(Table1[[#This Row],[WHRS NET KW TOTAL]]&lt;&gt;0,Table1[[#This Row],[WHRS NET KW TOTAL]]-U743,"")</f>
        <v/>
      </c>
      <c r="Y744" s="6" t="b">
        <f>IF(AND(Table1[[#This Row],[WHRS KW RECOVERED PER DAY]]&lt;&gt;0,Table1[[#This Row],[WHRS RH]]&lt;&gt;0),ROUND(Table1[[#This Row],[WHRS KW RECOVERED PER DAY]]/Table1[[#This Row],[WHRS RH]],1))</f>
        <v>0</v>
      </c>
      <c r="Z744" s="8"/>
      <c r="AA744" s="1"/>
      <c r="AB744" s="1"/>
      <c r="AC744" s="1"/>
      <c r="AD744" s="1"/>
      <c r="AE744" s="1"/>
      <c r="AF744" s="1"/>
      <c r="AG744" s="1" t="str">
        <f t="shared" si="32"/>
        <v/>
      </c>
      <c r="AH744" s="1" t="str">
        <f t="shared" si="33"/>
        <v/>
      </c>
      <c r="AI744" s="1" t="str">
        <f>IF(AH744="", "", SUM($AH$4:AH744))</f>
        <v/>
      </c>
      <c r="AJ744" s="9"/>
    </row>
    <row r="745" spans="1:36">
      <c r="A745" s="7"/>
      <c r="X745" s="6" t="str">
        <f>IF(Table1[[#This Row],[WHRS NET KW TOTAL]]&lt;&gt;0,Table1[[#This Row],[WHRS NET KW TOTAL]]-U744,"")</f>
        <v/>
      </c>
      <c r="Y745" s="6" t="b">
        <f>IF(AND(Table1[[#This Row],[WHRS KW RECOVERED PER DAY]]&lt;&gt;0,Table1[[#This Row],[WHRS RH]]&lt;&gt;0),ROUND(Table1[[#This Row],[WHRS KW RECOVERED PER DAY]]/Table1[[#This Row],[WHRS RH]],1))</f>
        <v>0</v>
      </c>
      <c r="Z745" s="8"/>
      <c r="AA745" s="1"/>
      <c r="AB745" s="1"/>
      <c r="AC745" s="1"/>
      <c r="AD745" s="1"/>
      <c r="AE745" s="1"/>
      <c r="AF745" s="1"/>
      <c r="AG745" s="1" t="str">
        <f t="shared" si="32"/>
        <v/>
      </c>
      <c r="AH745" s="1" t="str">
        <f t="shared" si="33"/>
        <v/>
      </c>
      <c r="AI745" s="1" t="str">
        <f>IF(AH745="", "", SUM($AH$4:AH745))</f>
        <v/>
      </c>
      <c r="AJ745" s="9"/>
    </row>
    <row r="746" spans="1:36">
      <c r="A746" s="7"/>
      <c r="X746" s="6" t="str">
        <f>IF(Table1[[#This Row],[WHRS NET KW TOTAL]]&lt;&gt;0,Table1[[#This Row],[WHRS NET KW TOTAL]]-U745,"")</f>
        <v/>
      </c>
      <c r="Y746" s="6" t="b">
        <f>IF(AND(Table1[[#This Row],[WHRS KW RECOVERED PER DAY]]&lt;&gt;0,Table1[[#This Row],[WHRS RH]]&lt;&gt;0),ROUND(Table1[[#This Row],[WHRS KW RECOVERED PER DAY]]/Table1[[#This Row],[WHRS RH]],1))</f>
        <v>0</v>
      </c>
      <c r="Z746" s="8"/>
      <c r="AA746" s="1"/>
      <c r="AB746" s="1"/>
      <c r="AC746" s="1"/>
      <c r="AD746" s="1"/>
      <c r="AE746" s="1"/>
      <c r="AF746" s="1"/>
      <c r="AG746" s="1" t="str">
        <f t="shared" si="32"/>
        <v/>
      </c>
      <c r="AH746" s="1" t="str">
        <f t="shared" si="33"/>
        <v/>
      </c>
      <c r="AI746" s="1" t="str">
        <f>IF(AH746="", "", SUM($AH$4:AH746))</f>
        <v/>
      </c>
      <c r="AJ746" s="9"/>
    </row>
    <row r="747" spans="1:36">
      <c r="A747" s="7"/>
      <c r="X747" s="6" t="str">
        <f>IF(Table1[[#This Row],[WHRS NET KW TOTAL]]&lt;&gt;0,Table1[[#This Row],[WHRS NET KW TOTAL]]-U746,"")</f>
        <v/>
      </c>
      <c r="Y747" s="6" t="b">
        <f>IF(AND(Table1[[#This Row],[WHRS KW RECOVERED PER DAY]]&lt;&gt;0,Table1[[#This Row],[WHRS RH]]&lt;&gt;0),ROUND(Table1[[#This Row],[WHRS KW RECOVERED PER DAY]]/Table1[[#This Row],[WHRS RH]],1))</f>
        <v>0</v>
      </c>
      <c r="Z747" s="8"/>
      <c r="AA747" s="1"/>
      <c r="AB747" s="1"/>
      <c r="AC747" s="1"/>
      <c r="AD747" s="1"/>
      <c r="AE747" s="1"/>
      <c r="AF747" s="1"/>
      <c r="AG747" s="1" t="str">
        <f t="shared" si="32"/>
        <v/>
      </c>
      <c r="AH747" s="1" t="str">
        <f t="shared" si="33"/>
        <v/>
      </c>
      <c r="AI747" s="1" t="str">
        <f>IF(AH747="", "", SUM($AH$4:AH747))</f>
        <v/>
      </c>
      <c r="AJ747" s="9"/>
    </row>
    <row r="748" spans="1:36">
      <c r="A748" s="7"/>
      <c r="X748" s="6" t="str">
        <f>IF(Table1[[#This Row],[WHRS NET KW TOTAL]]&lt;&gt;0,Table1[[#This Row],[WHRS NET KW TOTAL]]-U747,"")</f>
        <v/>
      </c>
      <c r="Y748" s="6" t="b">
        <f>IF(AND(Table1[[#This Row],[WHRS KW RECOVERED PER DAY]]&lt;&gt;0,Table1[[#This Row],[WHRS RH]]&lt;&gt;0),ROUND(Table1[[#This Row],[WHRS KW RECOVERED PER DAY]]/Table1[[#This Row],[WHRS RH]],1))</f>
        <v>0</v>
      </c>
      <c r="Z748" s="8"/>
      <c r="AA748" s="1"/>
      <c r="AB748" s="1"/>
      <c r="AC748" s="1"/>
      <c r="AD748" s="1"/>
      <c r="AE748" s="1"/>
      <c r="AF748" s="1"/>
      <c r="AG748" s="1" t="str">
        <f t="shared" si="32"/>
        <v/>
      </c>
      <c r="AH748" s="1" t="str">
        <f t="shared" si="33"/>
        <v/>
      </c>
      <c r="AI748" s="1" t="str">
        <f>IF(AH748="", "", SUM($AH$4:AH748))</f>
        <v/>
      </c>
      <c r="AJ748" s="9"/>
    </row>
    <row r="749" spans="1:36">
      <c r="A749" s="7"/>
      <c r="X749" s="6" t="str">
        <f>IF(Table1[[#This Row],[WHRS NET KW TOTAL]]&lt;&gt;0,Table1[[#This Row],[WHRS NET KW TOTAL]]-U748,"")</f>
        <v/>
      </c>
      <c r="Y749" s="6" t="b">
        <f>IF(AND(Table1[[#This Row],[WHRS KW RECOVERED PER DAY]]&lt;&gt;0,Table1[[#This Row],[WHRS RH]]&lt;&gt;0),ROUND(Table1[[#This Row],[WHRS KW RECOVERED PER DAY]]/Table1[[#This Row],[WHRS RH]],1))</f>
        <v>0</v>
      </c>
      <c r="Z749" s="8"/>
      <c r="AA749" s="1"/>
      <c r="AB749" s="1"/>
      <c r="AC749" s="1"/>
      <c r="AD749" s="1"/>
      <c r="AE749" s="1"/>
      <c r="AF749" s="1"/>
      <c r="AG749" s="1" t="str">
        <f t="shared" si="32"/>
        <v/>
      </c>
      <c r="AH749" s="1" t="str">
        <f t="shared" si="33"/>
        <v/>
      </c>
      <c r="AI749" s="1" t="str">
        <f>IF(AH749="", "", SUM($AH$4:AH749))</f>
        <v/>
      </c>
      <c r="AJ749" s="9"/>
    </row>
    <row r="750" spans="1:36">
      <c r="A750" s="7"/>
      <c r="X750" s="6" t="str">
        <f>IF(Table1[[#This Row],[WHRS NET KW TOTAL]]&lt;&gt;0,Table1[[#This Row],[WHRS NET KW TOTAL]]-U749,"")</f>
        <v/>
      </c>
      <c r="Y750" s="6" t="b">
        <f>IF(AND(Table1[[#This Row],[WHRS KW RECOVERED PER DAY]]&lt;&gt;0,Table1[[#This Row],[WHRS RH]]&lt;&gt;0),ROUND(Table1[[#This Row],[WHRS KW RECOVERED PER DAY]]/Table1[[#This Row],[WHRS RH]],1))</f>
        <v>0</v>
      </c>
      <c r="Z750" s="8"/>
      <c r="AA750" s="1"/>
      <c r="AB750" s="1"/>
      <c r="AC750" s="1"/>
      <c r="AD750" s="1"/>
      <c r="AE750" s="1"/>
      <c r="AF750" s="1"/>
      <c r="AG750" s="1" t="str">
        <f t="shared" si="32"/>
        <v/>
      </c>
      <c r="AH750" s="1" t="str">
        <f t="shared" si="33"/>
        <v/>
      </c>
      <c r="AI750" s="1" t="str">
        <f>IF(AH750="", "", SUM($AH$4:AH750))</f>
        <v/>
      </c>
      <c r="AJ750" s="9"/>
    </row>
    <row r="751" spans="1:36">
      <c r="A751" s="7"/>
      <c r="X751" s="6" t="str">
        <f>IF(Table1[[#This Row],[WHRS NET KW TOTAL]]&lt;&gt;0,Table1[[#This Row],[WHRS NET KW TOTAL]]-U750,"")</f>
        <v/>
      </c>
      <c r="Y751" s="6" t="b">
        <f>IF(AND(Table1[[#This Row],[WHRS KW RECOVERED PER DAY]]&lt;&gt;0,Table1[[#This Row],[WHRS RH]]&lt;&gt;0),ROUND(Table1[[#This Row],[WHRS KW RECOVERED PER DAY]]/Table1[[#This Row],[WHRS RH]],1))</f>
        <v>0</v>
      </c>
      <c r="Z751" s="8"/>
      <c r="AA751" s="1"/>
      <c r="AB751" s="1"/>
      <c r="AC751" s="1"/>
      <c r="AD751" s="1"/>
      <c r="AE751" s="1"/>
      <c r="AF751" s="1"/>
      <c r="AG751" s="1" t="str">
        <f t="shared" si="32"/>
        <v/>
      </c>
      <c r="AH751" s="1" t="str">
        <f t="shared" si="33"/>
        <v/>
      </c>
      <c r="AI751" s="1" t="str">
        <f>IF(AH751="", "", SUM($AH$4:AH751))</f>
        <v/>
      </c>
      <c r="AJ751" s="9"/>
    </row>
    <row r="752" spans="1:36">
      <c r="A752" s="7"/>
      <c r="X752" s="6" t="str">
        <f>IF(Table1[[#This Row],[WHRS NET KW TOTAL]]&lt;&gt;0,Table1[[#This Row],[WHRS NET KW TOTAL]]-U751,"")</f>
        <v/>
      </c>
      <c r="Y752" s="6" t="b">
        <f>IF(AND(Table1[[#This Row],[WHRS KW RECOVERED PER DAY]]&lt;&gt;0,Table1[[#This Row],[WHRS RH]]&lt;&gt;0),ROUND(Table1[[#This Row],[WHRS KW RECOVERED PER DAY]]/Table1[[#This Row],[WHRS RH]],1))</f>
        <v>0</v>
      </c>
      <c r="Z752" s="8"/>
      <c r="AA752" s="1"/>
      <c r="AB752" s="1"/>
      <c r="AC752" s="1"/>
      <c r="AD752" s="1"/>
      <c r="AE752" s="1"/>
      <c r="AF752" s="1"/>
      <c r="AG752" s="1" t="str">
        <f t="shared" si="32"/>
        <v/>
      </c>
      <c r="AH752" s="1" t="str">
        <f t="shared" si="33"/>
        <v/>
      </c>
      <c r="AI752" s="1" t="str">
        <f>IF(AH752="", "", SUM($AH$4:AH752))</f>
        <v/>
      </c>
      <c r="AJ752" s="9"/>
    </row>
    <row r="753" spans="1:36">
      <c r="A753" s="7"/>
      <c r="X753" s="6" t="str">
        <f>IF(Table1[[#This Row],[WHRS NET KW TOTAL]]&lt;&gt;0,Table1[[#This Row],[WHRS NET KW TOTAL]]-U752,"")</f>
        <v/>
      </c>
      <c r="Y753" s="6" t="b">
        <f>IF(AND(Table1[[#This Row],[WHRS KW RECOVERED PER DAY]]&lt;&gt;0,Table1[[#This Row],[WHRS RH]]&lt;&gt;0),ROUND(Table1[[#This Row],[WHRS KW RECOVERED PER DAY]]/Table1[[#This Row],[WHRS RH]],1))</f>
        <v>0</v>
      </c>
      <c r="Z753" s="8"/>
      <c r="AA753" s="1"/>
      <c r="AB753" s="1"/>
      <c r="AC753" s="1"/>
      <c r="AD753" s="1"/>
      <c r="AE753" s="1"/>
      <c r="AF753" s="1"/>
      <c r="AG753" s="1" t="str">
        <f t="shared" si="32"/>
        <v/>
      </c>
      <c r="AH753" s="1" t="str">
        <f t="shared" si="33"/>
        <v/>
      </c>
      <c r="AI753" s="1" t="str">
        <f>IF(AH753="", "", SUM($AH$4:AH753))</f>
        <v/>
      </c>
      <c r="AJ753" s="9"/>
    </row>
    <row r="754" spans="1:36">
      <c r="A754" s="7"/>
      <c r="X754" s="6" t="str">
        <f>IF(Table1[[#This Row],[WHRS NET KW TOTAL]]&lt;&gt;0,Table1[[#This Row],[WHRS NET KW TOTAL]]-U753,"")</f>
        <v/>
      </c>
      <c r="Y754" s="6" t="b">
        <f>IF(AND(Table1[[#This Row],[WHRS KW RECOVERED PER DAY]]&lt;&gt;0,Table1[[#This Row],[WHRS RH]]&lt;&gt;0),ROUND(Table1[[#This Row],[WHRS KW RECOVERED PER DAY]]/Table1[[#This Row],[WHRS RH]],1))</f>
        <v>0</v>
      </c>
      <c r="Z754" s="8"/>
      <c r="AA754" s="1"/>
      <c r="AB754" s="1"/>
      <c r="AC754" s="1"/>
      <c r="AD754" s="1"/>
      <c r="AE754" s="1"/>
      <c r="AF754" s="1"/>
      <c r="AG754" s="1" t="str">
        <f t="shared" si="32"/>
        <v/>
      </c>
      <c r="AH754" s="1" t="str">
        <f t="shared" si="33"/>
        <v/>
      </c>
      <c r="AI754" s="1" t="str">
        <f>IF(AH754="", "", SUM($AH$4:AH754))</f>
        <v/>
      </c>
      <c r="AJ754" s="9"/>
    </row>
    <row r="755" spans="1:36">
      <c r="A755" s="7"/>
      <c r="X755" s="6" t="str">
        <f>IF(Table1[[#This Row],[WHRS NET KW TOTAL]]&lt;&gt;0,Table1[[#This Row],[WHRS NET KW TOTAL]]-U754,"")</f>
        <v/>
      </c>
      <c r="Y755" s="6" t="b">
        <f>IF(AND(Table1[[#This Row],[WHRS KW RECOVERED PER DAY]]&lt;&gt;0,Table1[[#This Row],[WHRS RH]]&lt;&gt;0),ROUND(Table1[[#This Row],[WHRS KW RECOVERED PER DAY]]/Table1[[#This Row],[WHRS RH]],1))</f>
        <v>0</v>
      </c>
      <c r="Z755" s="8"/>
      <c r="AA755" s="1"/>
      <c r="AB755" s="1"/>
      <c r="AC755" s="1"/>
      <c r="AD755" s="1"/>
      <c r="AE755" s="1"/>
      <c r="AF755" s="1"/>
      <c r="AG755" s="1" t="str">
        <f t="shared" si="32"/>
        <v/>
      </c>
      <c r="AH755" s="1" t="str">
        <f t="shared" si="33"/>
        <v/>
      </c>
      <c r="AI755" s="1" t="str">
        <f>IF(AH755="", "", SUM($AH$4:AH755))</f>
        <v/>
      </c>
      <c r="AJ755" s="9"/>
    </row>
    <row r="756" spans="1:36">
      <c r="A756" s="7"/>
      <c r="X756" s="6" t="str">
        <f>IF(Table1[[#This Row],[WHRS NET KW TOTAL]]&lt;&gt;0,Table1[[#This Row],[WHRS NET KW TOTAL]]-U755,"")</f>
        <v/>
      </c>
      <c r="Y756" s="6" t="b">
        <f>IF(AND(Table1[[#This Row],[WHRS KW RECOVERED PER DAY]]&lt;&gt;0,Table1[[#This Row],[WHRS RH]]&lt;&gt;0),ROUND(Table1[[#This Row],[WHRS KW RECOVERED PER DAY]]/Table1[[#This Row],[WHRS RH]],1))</f>
        <v>0</v>
      </c>
      <c r="Z756" s="8"/>
      <c r="AA756" s="1"/>
      <c r="AB756" s="1"/>
      <c r="AC756" s="1"/>
      <c r="AD756" s="1"/>
      <c r="AE756" s="1"/>
      <c r="AF756" s="1"/>
      <c r="AG756" s="1" t="str">
        <f t="shared" si="32"/>
        <v/>
      </c>
      <c r="AH756" s="1" t="str">
        <f t="shared" si="33"/>
        <v/>
      </c>
      <c r="AI756" s="1" t="str">
        <f>IF(AH756="", "", SUM($AH$4:AH756))</f>
        <v/>
      </c>
      <c r="AJ756" s="9"/>
    </row>
    <row r="757" spans="1:36">
      <c r="A757" s="7"/>
      <c r="X757" s="6" t="str">
        <f>IF(Table1[[#This Row],[WHRS NET KW TOTAL]]&lt;&gt;0,Table1[[#This Row],[WHRS NET KW TOTAL]]-U756,"")</f>
        <v/>
      </c>
      <c r="Y757" s="6" t="b">
        <f>IF(AND(Table1[[#This Row],[WHRS KW RECOVERED PER DAY]]&lt;&gt;0,Table1[[#This Row],[WHRS RH]]&lt;&gt;0),ROUND(Table1[[#This Row],[WHRS KW RECOVERED PER DAY]]/Table1[[#This Row],[WHRS RH]],1))</f>
        <v>0</v>
      </c>
      <c r="Z757" s="8"/>
      <c r="AA757" s="1"/>
      <c r="AB757" s="1"/>
      <c r="AC757" s="1"/>
      <c r="AD757" s="1"/>
      <c r="AE757" s="1"/>
      <c r="AF757" s="1"/>
      <c r="AG757" s="1" t="str">
        <f t="shared" si="32"/>
        <v/>
      </c>
      <c r="AH757" s="1" t="str">
        <f t="shared" si="33"/>
        <v/>
      </c>
      <c r="AI757" s="1" t="str">
        <f>IF(AH757="", "", SUM($AH$4:AH757))</f>
        <v/>
      </c>
      <c r="AJ757" s="9"/>
    </row>
    <row r="758" spans="1:36">
      <c r="A758" s="7"/>
      <c r="X758" s="6" t="str">
        <f>IF(Table1[[#This Row],[WHRS NET KW TOTAL]]&lt;&gt;0,Table1[[#This Row],[WHRS NET KW TOTAL]]-U757,"")</f>
        <v/>
      </c>
      <c r="Y758" s="6" t="b">
        <f>IF(AND(Table1[[#This Row],[WHRS KW RECOVERED PER DAY]]&lt;&gt;0,Table1[[#This Row],[WHRS RH]]&lt;&gt;0),ROUND(Table1[[#This Row],[WHRS KW RECOVERED PER DAY]]/Table1[[#This Row],[WHRS RH]],1))</f>
        <v>0</v>
      </c>
      <c r="Z758" s="8"/>
      <c r="AA758" s="1"/>
      <c r="AB758" s="1"/>
      <c r="AC758" s="1"/>
      <c r="AD758" s="1"/>
      <c r="AE758" s="1"/>
      <c r="AF758" s="1"/>
      <c r="AG758" s="1" t="str">
        <f t="shared" si="32"/>
        <v/>
      </c>
      <c r="AH758" s="1" t="str">
        <f t="shared" si="33"/>
        <v/>
      </c>
      <c r="AI758" s="1" t="str">
        <f>IF(AH758="", "", SUM($AH$4:AH758))</f>
        <v/>
      </c>
      <c r="AJ758" s="9"/>
    </row>
    <row r="759" spans="1:36">
      <c r="A759" s="7"/>
      <c r="X759" s="6" t="str">
        <f>IF(Table1[[#This Row],[WHRS NET KW TOTAL]]&lt;&gt;0,Table1[[#This Row],[WHRS NET KW TOTAL]]-U758,"")</f>
        <v/>
      </c>
      <c r="Y759" s="6" t="b">
        <f>IF(AND(Table1[[#This Row],[WHRS KW RECOVERED PER DAY]]&lt;&gt;0,Table1[[#This Row],[WHRS RH]]&lt;&gt;0),ROUND(Table1[[#This Row],[WHRS KW RECOVERED PER DAY]]/Table1[[#This Row],[WHRS RH]],1))</f>
        <v>0</v>
      </c>
      <c r="Z759" s="8"/>
      <c r="AA759" s="1"/>
      <c r="AB759" s="1"/>
      <c r="AC759" s="1"/>
      <c r="AD759" s="1"/>
      <c r="AE759" s="1"/>
      <c r="AF759" s="1"/>
      <c r="AG759" s="1" t="str">
        <f t="shared" si="32"/>
        <v/>
      </c>
      <c r="AH759" s="1" t="str">
        <f t="shared" si="33"/>
        <v/>
      </c>
      <c r="AI759" s="1" t="str">
        <f>IF(AH759="", "", SUM($AH$4:AH759))</f>
        <v/>
      </c>
      <c r="AJ759" s="9"/>
    </row>
    <row r="760" spans="1:36">
      <c r="A760" s="7"/>
      <c r="X760" s="6" t="str">
        <f>IF(Table1[[#This Row],[WHRS NET KW TOTAL]]&lt;&gt;0,Table1[[#This Row],[WHRS NET KW TOTAL]]-U759,"")</f>
        <v/>
      </c>
      <c r="Y760" s="6" t="b">
        <f>IF(AND(Table1[[#This Row],[WHRS KW RECOVERED PER DAY]]&lt;&gt;0,Table1[[#This Row],[WHRS RH]]&lt;&gt;0),ROUND(Table1[[#This Row],[WHRS KW RECOVERED PER DAY]]/Table1[[#This Row],[WHRS RH]],1))</f>
        <v>0</v>
      </c>
      <c r="Z760" s="8"/>
      <c r="AA760" s="1"/>
      <c r="AB760" s="1"/>
      <c r="AC760" s="1"/>
      <c r="AD760" s="1"/>
      <c r="AE760" s="1"/>
      <c r="AF760" s="1"/>
      <c r="AG760" s="1" t="str">
        <f t="shared" si="32"/>
        <v/>
      </c>
      <c r="AH760" s="1" t="str">
        <f t="shared" si="33"/>
        <v/>
      </c>
      <c r="AI760" s="1" t="str">
        <f>IF(AH760="", "", SUM($AH$4:AH760))</f>
        <v/>
      </c>
      <c r="AJ760" s="9"/>
    </row>
    <row r="761" spans="1:36">
      <c r="A761" s="7"/>
      <c r="X761" s="6" t="str">
        <f>IF(Table1[[#This Row],[WHRS NET KW TOTAL]]&lt;&gt;0,Table1[[#This Row],[WHRS NET KW TOTAL]]-U760,"")</f>
        <v/>
      </c>
      <c r="Y761" s="6" t="b">
        <f>IF(AND(Table1[[#This Row],[WHRS KW RECOVERED PER DAY]]&lt;&gt;0,Table1[[#This Row],[WHRS RH]]&lt;&gt;0),ROUND(Table1[[#This Row],[WHRS KW RECOVERED PER DAY]]/Table1[[#This Row],[WHRS RH]],1))</f>
        <v>0</v>
      </c>
      <c r="Z761" s="8"/>
      <c r="AA761" s="1"/>
      <c r="AB761" s="1"/>
      <c r="AC761" s="1"/>
      <c r="AD761" s="1"/>
      <c r="AE761" s="1"/>
      <c r="AF761" s="1"/>
      <c r="AG761" s="1" t="str">
        <f t="shared" si="32"/>
        <v/>
      </c>
      <c r="AH761" s="1" t="str">
        <f t="shared" si="33"/>
        <v/>
      </c>
      <c r="AI761" s="1" t="str">
        <f>IF(AH761="", "", SUM($AH$4:AH761))</f>
        <v/>
      </c>
      <c r="AJ761" s="9"/>
    </row>
    <row r="762" spans="1:36">
      <c r="A762" s="7"/>
      <c r="X762" s="6" t="str">
        <f>IF(Table1[[#This Row],[WHRS NET KW TOTAL]]&lt;&gt;0,Table1[[#This Row],[WHRS NET KW TOTAL]]-U761,"")</f>
        <v/>
      </c>
      <c r="Y762" s="6" t="b">
        <f>IF(AND(Table1[[#This Row],[WHRS KW RECOVERED PER DAY]]&lt;&gt;0,Table1[[#This Row],[WHRS RH]]&lt;&gt;0),ROUND(Table1[[#This Row],[WHRS KW RECOVERED PER DAY]]/Table1[[#This Row],[WHRS RH]],1))</f>
        <v>0</v>
      </c>
      <c r="Z762" s="8"/>
      <c r="AA762" s="1"/>
      <c r="AB762" s="1"/>
      <c r="AC762" s="1"/>
      <c r="AD762" s="1"/>
      <c r="AE762" s="1"/>
      <c r="AF762" s="1"/>
      <c r="AG762" s="1" t="str">
        <f t="shared" si="32"/>
        <v/>
      </c>
      <c r="AH762" s="1" t="str">
        <f t="shared" si="33"/>
        <v/>
      </c>
      <c r="AI762" s="1" t="str">
        <f>IF(AH762="", "", SUM($AH$4:AH762))</f>
        <v/>
      </c>
      <c r="AJ762" s="9"/>
    </row>
    <row r="763" spans="1:36">
      <c r="A763" s="7"/>
      <c r="X763" s="6" t="str">
        <f>IF(Table1[[#This Row],[WHRS NET KW TOTAL]]&lt;&gt;0,Table1[[#This Row],[WHRS NET KW TOTAL]]-U762,"")</f>
        <v/>
      </c>
      <c r="Y763" s="6" t="b">
        <f>IF(AND(Table1[[#This Row],[WHRS KW RECOVERED PER DAY]]&lt;&gt;0,Table1[[#This Row],[WHRS RH]]&lt;&gt;0),ROUND(Table1[[#This Row],[WHRS KW RECOVERED PER DAY]]/Table1[[#This Row],[WHRS RH]],1))</f>
        <v>0</v>
      </c>
      <c r="Z763" s="8"/>
      <c r="AA763" s="1"/>
      <c r="AB763" s="1"/>
      <c r="AC763" s="1"/>
      <c r="AD763" s="1"/>
      <c r="AE763" s="1"/>
      <c r="AF763" s="1"/>
      <c r="AG763" s="1" t="str">
        <f t="shared" si="32"/>
        <v/>
      </c>
      <c r="AH763" s="1" t="str">
        <f t="shared" si="33"/>
        <v/>
      </c>
      <c r="AI763" s="1" t="str">
        <f>IF(AH763="", "", SUM($AH$4:AH763))</f>
        <v/>
      </c>
      <c r="AJ763" s="9"/>
    </row>
    <row r="764" spans="1:36">
      <c r="A764" s="7"/>
      <c r="X764" s="6" t="str">
        <f>IF(Table1[[#This Row],[WHRS NET KW TOTAL]]&lt;&gt;0,Table1[[#This Row],[WHRS NET KW TOTAL]]-U763,"")</f>
        <v/>
      </c>
      <c r="Y764" s="6" t="b">
        <f>IF(AND(Table1[[#This Row],[WHRS KW RECOVERED PER DAY]]&lt;&gt;0,Table1[[#This Row],[WHRS RH]]&lt;&gt;0),ROUND(Table1[[#This Row],[WHRS KW RECOVERED PER DAY]]/Table1[[#This Row],[WHRS RH]],1))</f>
        <v>0</v>
      </c>
      <c r="Z764" s="8"/>
      <c r="AA764" s="1"/>
      <c r="AB764" s="1"/>
      <c r="AC764" s="1"/>
      <c r="AD764" s="1"/>
      <c r="AE764" s="1"/>
      <c r="AF764" s="1"/>
      <c r="AG764" s="1" t="str">
        <f t="shared" si="32"/>
        <v/>
      </c>
      <c r="AH764" s="1" t="str">
        <f t="shared" si="33"/>
        <v/>
      </c>
      <c r="AI764" s="1" t="str">
        <f>IF(AH764="", "", SUM($AH$4:AH764))</f>
        <v/>
      </c>
      <c r="AJ764" s="9"/>
    </row>
    <row r="765" spans="1:36">
      <c r="A765" s="7"/>
      <c r="X765" s="6" t="str">
        <f>IF(Table1[[#This Row],[WHRS NET KW TOTAL]]&lt;&gt;0,Table1[[#This Row],[WHRS NET KW TOTAL]]-U764,"")</f>
        <v/>
      </c>
      <c r="Y765" s="6" t="b">
        <f>IF(AND(Table1[[#This Row],[WHRS KW RECOVERED PER DAY]]&lt;&gt;0,Table1[[#This Row],[WHRS RH]]&lt;&gt;0),ROUND(Table1[[#This Row],[WHRS KW RECOVERED PER DAY]]/Table1[[#This Row],[WHRS RH]],1))</f>
        <v>0</v>
      </c>
      <c r="Z765" s="8"/>
      <c r="AA765" s="1"/>
      <c r="AB765" s="1"/>
      <c r="AC765" s="1"/>
      <c r="AD765" s="1"/>
      <c r="AE765" s="1"/>
      <c r="AF765" s="1"/>
      <c r="AG765" s="1" t="str">
        <f t="shared" si="32"/>
        <v/>
      </c>
      <c r="AH765" s="1" t="str">
        <f t="shared" si="33"/>
        <v/>
      </c>
      <c r="AI765" s="1" t="str">
        <f>IF(AH765="", "", SUM($AH$4:AH765))</f>
        <v/>
      </c>
      <c r="AJ765" s="9"/>
    </row>
    <row r="766" spans="1:36">
      <c r="A766" s="7"/>
      <c r="X766" s="6" t="str">
        <f>IF(Table1[[#This Row],[WHRS NET KW TOTAL]]&lt;&gt;0,Table1[[#This Row],[WHRS NET KW TOTAL]]-U765,"")</f>
        <v/>
      </c>
      <c r="Y766" s="6" t="b">
        <f>IF(AND(Table1[[#This Row],[WHRS KW RECOVERED PER DAY]]&lt;&gt;0,Table1[[#This Row],[WHRS RH]]&lt;&gt;0),ROUND(Table1[[#This Row],[WHRS KW RECOVERED PER DAY]]/Table1[[#This Row],[WHRS RH]],1))</f>
        <v>0</v>
      </c>
      <c r="Z766" s="8"/>
      <c r="AA766" s="1"/>
      <c r="AB766" s="1"/>
      <c r="AC766" s="1"/>
      <c r="AD766" s="1"/>
      <c r="AE766" s="1"/>
      <c r="AF766" s="1"/>
      <c r="AG766" s="1" t="str">
        <f t="shared" si="32"/>
        <v/>
      </c>
      <c r="AH766" s="1" t="str">
        <f t="shared" si="33"/>
        <v/>
      </c>
      <c r="AI766" s="1" t="str">
        <f>IF(AH766="", "", SUM($AH$4:AH766))</f>
        <v/>
      </c>
      <c r="AJ766" s="9"/>
    </row>
    <row r="767" spans="1:36">
      <c r="A767" s="7"/>
      <c r="X767" s="6" t="str">
        <f>IF(Table1[[#This Row],[WHRS NET KW TOTAL]]&lt;&gt;0,Table1[[#This Row],[WHRS NET KW TOTAL]]-U766,"")</f>
        <v/>
      </c>
      <c r="Y767" s="6" t="b">
        <f>IF(AND(Table1[[#This Row],[WHRS KW RECOVERED PER DAY]]&lt;&gt;0,Table1[[#This Row],[WHRS RH]]&lt;&gt;0),ROUND(Table1[[#This Row],[WHRS KW RECOVERED PER DAY]]/Table1[[#This Row],[WHRS RH]],1))</f>
        <v>0</v>
      </c>
      <c r="Z767" s="8"/>
      <c r="AA767" s="1"/>
      <c r="AB767" s="1"/>
      <c r="AC767" s="1"/>
      <c r="AD767" s="1"/>
      <c r="AE767" s="1"/>
      <c r="AF767" s="1"/>
      <c r="AG767" s="1" t="str">
        <f t="shared" si="32"/>
        <v/>
      </c>
      <c r="AH767" s="1" t="str">
        <f t="shared" si="33"/>
        <v/>
      </c>
      <c r="AI767" s="1" t="str">
        <f>IF(AH767="", "", SUM($AH$4:AH767))</f>
        <v/>
      </c>
      <c r="AJ767" s="9"/>
    </row>
    <row r="768" spans="1:36">
      <c r="A768" s="7"/>
      <c r="X768" s="6" t="str">
        <f>IF(Table1[[#This Row],[WHRS NET KW TOTAL]]&lt;&gt;0,Table1[[#This Row],[WHRS NET KW TOTAL]]-U767,"")</f>
        <v/>
      </c>
      <c r="Y768" s="6" t="b">
        <f>IF(AND(Table1[[#This Row],[WHRS KW RECOVERED PER DAY]]&lt;&gt;0,Table1[[#This Row],[WHRS RH]]&lt;&gt;0),ROUND(Table1[[#This Row],[WHRS KW RECOVERED PER DAY]]/Table1[[#This Row],[WHRS RH]],1))</f>
        <v>0</v>
      </c>
      <c r="Z768" s="8"/>
      <c r="AA768" s="1"/>
      <c r="AB768" s="1"/>
      <c r="AC768" s="1"/>
      <c r="AD768" s="1"/>
      <c r="AE768" s="1"/>
      <c r="AF768" s="1"/>
      <c r="AG768" s="1" t="str">
        <f t="shared" si="32"/>
        <v/>
      </c>
      <c r="AH768" s="1" t="str">
        <f t="shared" si="33"/>
        <v/>
      </c>
      <c r="AI768" s="1" t="str">
        <f>IF(AH768="", "", SUM($AH$4:AH768))</f>
        <v/>
      </c>
      <c r="AJ768" s="9"/>
    </row>
    <row r="769" spans="1:36">
      <c r="A769" s="7"/>
      <c r="X769" s="6" t="str">
        <f>IF(Table1[[#This Row],[WHRS NET KW TOTAL]]&lt;&gt;0,Table1[[#This Row],[WHRS NET KW TOTAL]]-U768,"")</f>
        <v/>
      </c>
      <c r="Y769" s="6" t="b">
        <f>IF(AND(Table1[[#This Row],[WHRS KW RECOVERED PER DAY]]&lt;&gt;0,Table1[[#This Row],[WHRS RH]]&lt;&gt;0),ROUND(Table1[[#This Row],[WHRS KW RECOVERED PER DAY]]/Table1[[#This Row],[WHRS RH]],1))</f>
        <v>0</v>
      </c>
      <c r="Z769" s="8"/>
      <c r="AA769" s="1"/>
      <c r="AB769" s="1"/>
      <c r="AC769" s="1"/>
      <c r="AD769" s="1"/>
      <c r="AE769" s="1"/>
      <c r="AF769" s="1"/>
      <c r="AG769" s="1" t="str">
        <f t="shared" si="32"/>
        <v/>
      </c>
      <c r="AH769" s="1" t="str">
        <f t="shared" si="33"/>
        <v/>
      </c>
      <c r="AI769" s="1" t="str">
        <f>IF(AH769="", "", SUM($AH$4:AH769))</f>
        <v/>
      </c>
      <c r="AJ769" s="9"/>
    </row>
    <row r="770" spans="1:36">
      <c r="A770" s="7"/>
      <c r="X770" s="6" t="str">
        <f>IF(Table1[[#This Row],[WHRS NET KW TOTAL]]&lt;&gt;0,Table1[[#This Row],[WHRS NET KW TOTAL]]-U769,"")</f>
        <v/>
      </c>
      <c r="Y770" s="6" t="b">
        <f>IF(AND(Table1[[#This Row],[WHRS KW RECOVERED PER DAY]]&lt;&gt;0,Table1[[#This Row],[WHRS RH]]&lt;&gt;0),ROUND(Table1[[#This Row],[WHRS KW RECOVERED PER DAY]]/Table1[[#This Row],[WHRS RH]],1))</f>
        <v>0</v>
      </c>
      <c r="Z770" s="8"/>
      <c r="AA770" s="1"/>
      <c r="AB770" s="1"/>
      <c r="AC770" s="1"/>
      <c r="AD770" s="1"/>
      <c r="AE770" s="1"/>
      <c r="AF770" s="1"/>
      <c r="AG770" s="1" t="str">
        <f t="shared" si="32"/>
        <v/>
      </c>
      <c r="AH770" s="1" t="str">
        <f t="shared" si="33"/>
        <v/>
      </c>
      <c r="AI770" s="1" t="str">
        <f>IF(AH770="", "", SUM($AH$4:AH770))</f>
        <v/>
      </c>
      <c r="AJ770" s="9"/>
    </row>
    <row r="771" spans="1:36">
      <c r="A771" s="7"/>
      <c r="X771" s="6" t="str">
        <f>IF(Table1[[#This Row],[WHRS NET KW TOTAL]]&lt;&gt;0,Table1[[#This Row],[WHRS NET KW TOTAL]]-U770,"")</f>
        <v/>
      </c>
      <c r="Y771" s="6" t="b">
        <f>IF(AND(Table1[[#This Row],[WHRS KW RECOVERED PER DAY]]&lt;&gt;0,Table1[[#This Row],[WHRS RH]]&lt;&gt;0),ROUND(Table1[[#This Row],[WHRS KW RECOVERED PER DAY]]/Table1[[#This Row],[WHRS RH]],1))</f>
        <v>0</v>
      </c>
      <c r="Z771" s="8"/>
      <c r="AA771" s="1"/>
      <c r="AB771" s="1"/>
      <c r="AC771" s="1"/>
      <c r="AD771" s="1"/>
      <c r="AE771" s="1"/>
      <c r="AF771" s="1"/>
      <c r="AG771" s="1" t="str">
        <f t="shared" si="32"/>
        <v/>
      </c>
      <c r="AH771" s="1" t="str">
        <f t="shared" si="33"/>
        <v/>
      </c>
      <c r="AI771" s="1" t="str">
        <f>IF(AH771="", "", SUM($AH$4:AH771))</f>
        <v/>
      </c>
      <c r="AJ771" s="9"/>
    </row>
    <row r="772" spans="1:36">
      <c r="A772" s="7"/>
      <c r="X772" s="6" t="str">
        <f>IF(Table1[[#This Row],[WHRS NET KW TOTAL]]&lt;&gt;0,Table1[[#This Row],[WHRS NET KW TOTAL]]-U771,"")</f>
        <v/>
      </c>
      <c r="Y772" s="6" t="b">
        <f>IF(AND(Table1[[#This Row],[WHRS KW RECOVERED PER DAY]]&lt;&gt;0,Table1[[#This Row],[WHRS RH]]&lt;&gt;0),ROUND(Table1[[#This Row],[WHRS KW RECOVERED PER DAY]]/Table1[[#This Row],[WHRS RH]],1))</f>
        <v>0</v>
      </c>
      <c r="Z772" s="8"/>
      <c r="AA772" s="1"/>
      <c r="AB772" s="1"/>
      <c r="AC772" s="1"/>
      <c r="AD772" s="1"/>
      <c r="AE772" s="1"/>
      <c r="AF772" s="1"/>
      <c r="AG772" s="1" t="str">
        <f t="shared" si="32"/>
        <v/>
      </c>
      <c r="AH772" s="1" t="str">
        <f t="shared" si="33"/>
        <v/>
      </c>
      <c r="AI772" s="1" t="str">
        <f>IF(AH772="", "", SUM($AH$4:AH772))</f>
        <v/>
      </c>
      <c r="AJ772" s="9"/>
    </row>
    <row r="773" spans="1:36">
      <c r="A773" s="7"/>
      <c r="X773" s="6" t="str">
        <f>IF(Table1[[#This Row],[WHRS NET KW TOTAL]]&lt;&gt;0,Table1[[#This Row],[WHRS NET KW TOTAL]]-U772,"")</f>
        <v/>
      </c>
      <c r="Y773" s="6" t="b">
        <f>IF(AND(Table1[[#This Row],[WHRS KW RECOVERED PER DAY]]&lt;&gt;0,Table1[[#This Row],[WHRS RH]]&lt;&gt;0),ROUND(Table1[[#This Row],[WHRS KW RECOVERED PER DAY]]/Table1[[#This Row],[WHRS RH]],1))</f>
        <v>0</v>
      </c>
      <c r="Z773" s="8"/>
      <c r="AA773" s="1"/>
      <c r="AB773" s="1"/>
      <c r="AC773" s="1"/>
      <c r="AD773" s="1"/>
      <c r="AE773" s="1"/>
      <c r="AF773" s="1"/>
      <c r="AG773" s="1" t="str">
        <f t="shared" ref="AG773:AG836" si="34">IF(C773="", "", _xlfn.IFS(C773="LNG", 1345, C773="LSMGO", 1280, C773="VLSFO", 820, C773="HSFO", 635, TRUE, ""))</f>
        <v/>
      </c>
      <c r="AH773" s="1" t="str">
        <f t="shared" ref="AH773:AH836" si="35">IF(OR(W773="", AF773="", AG773=""), "", W773 * (AF773 / 1000000) * AG773)</f>
        <v/>
      </c>
      <c r="AI773" s="1" t="str">
        <f>IF(AH773="", "", SUM($AH$4:AH773))</f>
        <v/>
      </c>
      <c r="AJ773" s="9"/>
    </row>
    <row r="774" spans="1:36">
      <c r="A774" s="7"/>
      <c r="X774" s="6" t="str">
        <f>IF(Table1[[#This Row],[WHRS NET KW TOTAL]]&lt;&gt;0,Table1[[#This Row],[WHRS NET KW TOTAL]]-U773,"")</f>
        <v/>
      </c>
      <c r="Y774" s="6" t="b">
        <f>IF(AND(Table1[[#This Row],[WHRS KW RECOVERED PER DAY]]&lt;&gt;0,Table1[[#This Row],[WHRS RH]]&lt;&gt;0),ROUND(Table1[[#This Row],[WHRS KW RECOVERED PER DAY]]/Table1[[#This Row],[WHRS RH]],1))</f>
        <v>0</v>
      </c>
      <c r="Z774" s="8"/>
      <c r="AA774" s="1"/>
      <c r="AB774" s="1"/>
      <c r="AC774" s="1"/>
      <c r="AD774" s="1"/>
      <c r="AE774" s="1"/>
      <c r="AF774" s="1"/>
      <c r="AG774" s="1" t="str">
        <f t="shared" si="34"/>
        <v/>
      </c>
      <c r="AH774" s="1" t="str">
        <f t="shared" si="35"/>
        <v/>
      </c>
      <c r="AI774" s="1" t="str">
        <f>IF(AH774="", "", SUM($AH$4:AH774))</f>
        <v/>
      </c>
      <c r="AJ774" s="9"/>
    </row>
    <row r="775" spans="1:36">
      <c r="A775" s="7"/>
      <c r="X775" s="6" t="str">
        <f>IF(Table1[[#This Row],[WHRS NET KW TOTAL]]&lt;&gt;0,Table1[[#This Row],[WHRS NET KW TOTAL]]-U774,"")</f>
        <v/>
      </c>
      <c r="Y775" s="6" t="b">
        <f>IF(AND(Table1[[#This Row],[WHRS KW RECOVERED PER DAY]]&lt;&gt;0,Table1[[#This Row],[WHRS RH]]&lt;&gt;0),ROUND(Table1[[#This Row],[WHRS KW RECOVERED PER DAY]]/Table1[[#This Row],[WHRS RH]],1))</f>
        <v>0</v>
      </c>
      <c r="Z775" s="8"/>
      <c r="AA775" s="1"/>
      <c r="AB775" s="1"/>
      <c r="AC775" s="1"/>
      <c r="AD775" s="1"/>
      <c r="AE775" s="1"/>
      <c r="AF775" s="1"/>
      <c r="AG775" s="1" t="str">
        <f t="shared" si="34"/>
        <v/>
      </c>
      <c r="AH775" s="1" t="str">
        <f t="shared" si="35"/>
        <v/>
      </c>
      <c r="AI775" s="1" t="str">
        <f>IF(AH775="", "", SUM($AH$4:AH775))</f>
        <v/>
      </c>
      <c r="AJ775" s="9"/>
    </row>
    <row r="776" spans="1:36">
      <c r="A776" s="7"/>
      <c r="X776" s="6" t="str">
        <f>IF(Table1[[#This Row],[WHRS NET KW TOTAL]]&lt;&gt;0,Table1[[#This Row],[WHRS NET KW TOTAL]]-U775,"")</f>
        <v/>
      </c>
      <c r="Y776" s="6" t="b">
        <f>IF(AND(Table1[[#This Row],[WHRS KW RECOVERED PER DAY]]&lt;&gt;0,Table1[[#This Row],[WHRS RH]]&lt;&gt;0),ROUND(Table1[[#This Row],[WHRS KW RECOVERED PER DAY]]/Table1[[#This Row],[WHRS RH]],1))</f>
        <v>0</v>
      </c>
      <c r="Z776" s="8"/>
      <c r="AA776" s="1"/>
      <c r="AB776" s="1"/>
      <c r="AC776" s="1"/>
      <c r="AD776" s="1"/>
      <c r="AE776" s="1"/>
      <c r="AF776" s="1"/>
      <c r="AG776" s="1" t="str">
        <f t="shared" si="34"/>
        <v/>
      </c>
      <c r="AH776" s="1" t="str">
        <f t="shared" si="35"/>
        <v/>
      </c>
      <c r="AI776" s="1" t="str">
        <f>IF(AH776="", "", SUM($AH$4:AH776))</f>
        <v/>
      </c>
      <c r="AJ776" s="9"/>
    </row>
    <row r="777" spans="1:36">
      <c r="A777" s="7"/>
      <c r="X777" s="6" t="str">
        <f>IF(Table1[[#This Row],[WHRS NET KW TOTAL]]&lt;&gt;0,Table1[[#This Row],[WHRS NET KW TOTAL]]-U776,"")</f>
        <v/>
      </c>
      <c r="Y777" s="6" t="b">
        <f>IF(AND(Table1[[#This Row],[WHRS KW RECOVERED PER DAY]]&lt;&gt;0,Table1[[#This Row],[WHRS RH]]&lt;&gt;0),ROUND(Table1[[#This Row],[WHRS KW RECOVERED PER DAY]]/Table1[[#This Row],[WHRS RH]],1))</f>
        <v>0</v>
      </c>
      <c r="Z777" s="8"/>
      <c r="AA777" s="1"/>
      <c r="AB777" s="1"/>
      <c r="AC777" s="1"/>
      <c r="AD777" s="1"/>
      <c r="AE777" s="1"/>
      <c r="AF777" s="1"/>
      <c r="AG777" s="1" t="str">
        <f t="shared" si="34"/>
        <v/>
      </c>
      <c r="AH777" s="1" t="str">
        <f t="shared" si="35"/>
        <v/>
      </c>
      <c r="AI777" s="1" t="str">
        <f>IF(AH777="", "", SUM($AH$4:AH777))</f>
        <v/>
      </c>
      <c r="AJ777" s="9"/>
    </row>
    <row r="778" spans="1:36">
      <c r="A778" s="7"/>
      <c r="X778" s="6" t="str">
        <f>IF(Table1[[#This Row],[WHRS NET KW TOTAL]]&lt;&gt;0,Table1[[#This Row],[WHRS NET KW TOTAL]]-U777,"")</f>
        <v/>
      </c>
      <c r="Y778" s="6" t="b">
        <f>IF(AND(Table1[[#This Row],[WHRS KW RECOVERED PER DAY]]&lt;&gt;0,Table1[[#This Row],[WHRS RH]]&lt;&gt;0),ROUND(Table1[[#This Row],[WHRS KW RECOVERED PER DAY]]/Table1[[#This Row],[WHRS RH]],1))</f>
        <v>0</v>
      </c>
      <c r="Z778" s="8"/>
      <c r="AA778" s="1"/>
      <c r="AB778" s="1"/>
      <c r="AC778" s="1"/>
      <c r="AD778" s="1"/>
      <c r="AE778" s="1"/>
      <c r="AF778" s="1"/>
      <c r="AG778" s="1" t="str">
        <f t="shared" si="34"/>
        <v/>
      </c>
      <c r="AH778" s="1" t="str">
        <f t="shared" si="35"/>
        <v/>
      </c>
      <c r="AI778" s="1" t="str">
        <f>IF(AH778="", "", SUM($AH$4:AH778))</f>
        <v/>
      </c>
      <c r="AJ778" s="9"/>
    </row>
    <row r="779" spans="1:36">
      <c r="A779" s="7"/>
      <c r="X779" s="6" t="str">
        <f>IF(Table1[[#This Row],[WHRS NET KW TOTAL]]&lt;&gt;0,Table1[[#This Row],[WHRS NET KW TOTAL]]-U778,"")</f>
        <v/>
      </c>
      <c r="Y779" s="6" t="b">
        <f>IF(AND(Table1[[#This Row],[WHRS KW RECOVERED PER DAY]]&lt;&gt;0,Table1[[#This Row],[WHRS RH]]&lt;&gt;0),ROUND(Table1[[#This Row],[WHRS KW RECOVERED PER DAY]]/Table1[[#This Row],[WHRS RH]],1))</f>
        <v>0</v>
      </c>
      <c r="Z779" s="8"/>
      <c r="AA779" s="1"/>
      <c r="AB779" s="1"/>
      <c r="AC779" s="1"/>
      <c r="AD779" s="1"/>
      <c r="AE779" s="1"/>
      <c r="AF779" s="1"/>
      <c r="AG779" s="1" t="str">
        <f t="shared" si="34"/>
        <v/>
      </c>
      <c r="AH779" s="1" t="str">
        <f t="shared" si="35"/>
        <v/>
      </c>
      <c r="AI779" s="1" t="str">
        <f>IF(AH779="", "", SUM($AH$4:AH779))</f>
        <v/>
      </c>
      <c r="AJ779" s="9"/>
    </row>
    <row r="780" spans="1:36">
      <c r="A780" s="7"/>
      <c r="X780" s="6" t="str">
        <f>IF(Table1[[#This Row],[WHRS NET KW TOTAL]]&lt;&gt;0,Table1[[#This Row],[WHRS NET KW TOTAL]]-U779,"")</f>
        <v/>
      </c>
      <c r="Y780" s="6" t="b">
        <f>IF(AND(Table1[[#This Row],[WHRS KW RECOVERED PER DAY]]&lt;&gt;0,Table1[[#This Row],[WHRS RH]]&lt;&gt;0),ROUND(Table1[[#This Row],[WHRS KW RECOVERED PER DAY]]/Table1[[#This Row],[WHRS RH]],1))</f>
        <v>0</v>
      </c>
      <c r="Z780" s="8"/>
      <c r="AA780" s="1"/>
      <c r="AB780" s="1"/>
      <c r="AC780" s="1"/>
      <c r="AD780" s="1"/>
      <c r="AE780" s="1"/>
      <c r="AF780" s="1"/>
      <c r="AG780" s="1" t="str">
        <f t="shared" si="34"/>
        <v/>
      </c>
      <c r="AH780" s="1" t="str">
        <f t="shared" si="35"/>
        <v/>
      </c>
      <c r="AI780" s="1" t="str">
        <f>IF(AH780="", "", SUM($AH$4:AH780))</f>
        <v/>
      </c>
      <c r="AJ780" s="9"/>
    </row>
    <row r="781" spans="1:36">
      <c r="A781" s="7"/>
      <c r="X781" s="6" t="str">
        <f>IF(Table1[[#This Row],[WHRS NET KW TOTAL]]&lt;&gt;0,Table1[[#This Row],[WHRS NET KW TOTAL]]-U780,"")</f>
        <v/>
      </c>
      <c r="Y781" s="6" t="b">
        <f>IF(AND(Table1[[#This Row],[WHRS KW RECOVERED PER DAY]]&lt;&gt;0,Table1[[#This Row],[WHRS RH]]&lt;&gt;0),ROUND(Table1[[#This Row],[WHRS KW RECOVERED PER DAY]]/Table1[[#This Row],[WHRS RH]],1))</f>
        <v>0</v>
      </c>
      <c r="Z781" s="8"/>
      <c r="AA781" s="1"/>
      <c r="AB781" s="1"/>
      <c r="AC781" s="1"/>
      <c r="AD781" s="1"/>
      <c r="AE781" s="1"/>
      <c r="AF781" s="1"/>
      <c r="AG781" s="1" t="str">
        <f t="shared" si="34"/>
        <v/>
      </c>
      <c r="AH781" s="1" t="str">
        <f t="shared" si="35"/>
        <v/>
      </c>
      <c r="AI781" s="1" t="str">
        <f>IF(AH781="", "", SUM($AH$4:AH781))</f>
        <v/>
      </c>
      <c r="AJ781" s="9"/>
    </row>
    <row r="782" spans="1:36">
      <c r="A782" s="7"/>
      <c r="X782" s="6" t="str">
        <f>IF(Table1[[#This Row],[WHRS NET KW TOTAL]]&lt;&gt;0,Table1[[#This Row],[WHRS NET KW TOTAL]]-U781,"")</f>
        <v/>
      </c>
      <c r="Y782" s="6" t="b">
        <f>IF(AND(Table1[[#This Row],[WHRS KW RECOVERED PER DAY]]&lt;&gt;0,Table1[[#This Row],[WHRS RH]]&lt;&gt;0),ROUND(Table1[[#This Row],[WHRS KW RECOVERED PER DAY]]/Table1[[#This Row],[WHRS RH]],1))</f>
        <v>0</v>
      </c>
      <c r="Z782" s="8"/>
      <c r="AA782" s="1"/>
      <c r="AB782" s="1"/>
      <c r="AC782" s="1"/>
      <c r="AD782" s="1"/>
      <c r="AE782" s="1"/>
      <c r="AF782" s="1"/>
      <c r="AG782" s="1" t="str">
        <f t="shared" si="34"/>
        <v/>
      </c>
      <c r="AH782" s="1" t="str">
        <f t="shared" si="35"/>
        <v/>
      </c>
      <c r="AI782" s="1" t="str">
        <f>IF(AH782="", "", SUM($AH$4:AH782))</f>
        <v/>
      </c>
      <c r="AJ782" s="9"/>
    </row>
    <row r="783" spans="1:36">
      <c r="A783" s="7"/>
      <c r="X783" s="6" t="str">
        <f>IF(Table1[[#This Row],[WHRS NET KW TOTAL]]&lt;&gt;0,Table1[[#This Row],[WHRS NET KW TOTAL]]-U782,"")</f>
        <v/>
      </c>
      <c r="Y783" s="6" t="b">
        <f>IF(AND(Table1[[#This Row],[WHRS KW RECOVERED PER DAY]]&lt;&gt;0,Table1[[#This Row],[WHRS RH]]&lt;&gt;0),ROUND(Table1[[#This Row],[WHRS KW RECOVERED PER DAY]]/Table1[[#This Row],[WHRS RH]],1))</f>
        <v>0</v>
      </c>
      <c r="Z783" s="8"/>
      <c r="AA783" s="1"/>
      <c r="AB783" s="1"/>
      <c r="AC783" s="1"/>
      <c r="AD783" s="1"/>
      <c r="AE783" s="1"/>
      <c r="AF783" s="1"/>
      <c r="AG783" s="1" t="str">
        <f t="shared" si="34"/>
        <v/>
      </c>
      <c r="AH783" s="1" t="str">
        <f t="shared" si="35"/>
        <v/>
      </c>
      <c r="AI783" s="1" t="str">
        <f>IF(AH783="", "", SUM($AH$4:AH783))</f>
        <v/>
      </c>
      <c r="AJ783" s="9"/>
    </row>
    <row r="784" spans="1:36">
      <c r="A784" s="7"/>
      <c r="X784" s="6" t="str">
        <f>IF(Table1[[#This Row],[WHRS NET KW TOTAL]]&lt;&gt;0,Table1[[#This Row],[WHRS NET KW TOTAL]]-U783,"")</f>
        <v/>
      </c>
      <c r="Y784" s="6" t="b">
        <f>IF(AND(Table1[[#This Row],[WHRS KW RECOVERED PER DAY]]&lt;&gt;0,Table1[[#This Row],[WHRS RH]]&lt;&gt;0),ROUND(Table1[[#This Row],[WHRS KW RECOVERED PER DAY]]/Table1[[#This Row],[WHRS RH]],1))</f>
        <v>0</v>
      </c>
      <c r="Z784" s="8"/>
      <c r="AA784" s="1"/>
      <c r="AB784" s="1"/>
      <c r="AC784" s="1"/>
      <c r="AD784" s="1"/>
      <c r="AE784" s="1"/>
      <c r="AF784" s="1"/>
      <c r="AG784" s="1" t="str">
        <f t="shared" si="34"/>
        <v/>
      </c>
      <c r="AH784" s="1" t="str">
        <f t="shared" si="35"/>
        <v/>
      </c>
      <c r="AI784" s="1" t="str">
        <f>IF(AH784="", "", SUM($AH$4:AH784))</f>
        <v/>
      </c>
      <c r="AJ784" s="9"/>
    </row>
    <row r="785" spans="1:36">
      <c r="A785" s="7"/>
      <c r="X785" s="6" t="str">
        <f>IF(Table1[[#This Row],[WHRS NET KW TOTAL]]&lt;&gt;0,Table1[[#This Row],[WHRS NET KW TOTAL]]-U784,"")</f>
        <v/>
      </c>
      <c r="Y785" s="6" t="b">
        <f>IF(AND(Table1[[#This Row],[WHRS KW RECOVERED PER DAY]]&lt;&gt;0,Table1[[#This Row],[WHRS RH]]&lt;&gt;0),ROUND(Table1[[#This Row],[WHRS KW RECOVERED PER DAY]]/Table1[[#This Row],[WHRS RH]],1))</f>
        <v>0</v>
      </c>
      <c r="Z785" s="8"/>
      <c r="AA785" s="1"/>
      <c r="AB785" s="1"/>
      <c r="AC785" s="1"/>
      <c r="AD785" s="1"/>
      <c r="AE785" s="1"/>
      <c r="AF785" s="1"/>
      <c r="AG785" s="1" t="str">
        <f t="shared" si="34"/>
        <v/>
      </c>
      <c r="AH785" s="1" t="str">
        <f t="shared" si="35"/>
        <v/>
      </c>
      <c r="AI785" s="1" t="str">
        <f>IF(AH785="", "", SUM($AH$4:AH785))</f>
        <v/>
      </c>
      <c r="AJ785" s="9"/>
    </row>
    <row r="786" spans="1:36">
      <c r="A786" s="7"/>
      <c r="X786" s="6" t="str">
        <f>IF(Table1[[#This Row],[WHRS NET KW TOTAL]]&lt;&gt;0,Table1[[#This Row],[WHRS NET KW TOTAL]]-U785,"")</f>
        <v/>
      </c>
      <c r="Y786" s="6" t="b">
        <f>IF(AND(Table1[[#This Row],[WHRS KW RECOVERED PER DAY]]&lt;&gt;0,Table1[[#This Row],[WHRS RH]]&lt;&gt;0),ROUND(Table1[[#This Row],[WHRS KW RECOVERED PER DAY]]/Table1[[#This Row],[WHRS RH]],1))</f>
        <v>0</v>
      </c>
      <c r="Z786" s="8"/>
      <c r="AA786" s="1"/>
      <c r="AB786" s="1"/>
      <c r="AC786" s="1"/>
      <c r="AD786" s="1"/>
      <c r="AE786" s="1"/>
      <c r="AF786" s="1"/>
      <c r="AG786" s="1" t="str">
        <f t="shared" si="34"/>
        <v/>
      </c>
      <c r="AH786" s="1" t="str">
        <f t="shared" si="35"/>
        <v/>
      </c>
      <c r="AI786" s="1" t="str">
        <f>IF(AH786="", "", SUM($AH$4:AH786))</f>
        <v/>
      </c>
      <c r="AJ786" s="9"/>
    </row>
    <row r="787" spans="1:36">
      <c r="A787" s="7"/>
      <c r="X787" s="6" t="str">
        <f>IF(Table1[[#This Row],[WHRS NET KW TOTAL]]&lt;&gt;0,Table1[[#This Row],[WHRS NET KW TOTAL]]-U786,"")</f>
        <v/>
      </c>
      <c r="Y787" s="6" t="b">
        <f>IF(AND(Table1[[#This Row],[WHRS KW RECOVERED PER DAY]]&lt;&gt;0,Table1[[#This Row],[WHRS RH]]&lt;&gt;0),ROUND(Table1[[#This Row],[WHRS KW RECOVERED PER DAY]]/Table1[[#This Row],[WHRS RH]],1))</f>
        <v>0</v>
      </c>
      <c r="Z787" s="8"/>
      <c r="AA787" s="1"/>
      <c r="AB787" s="1"/>
      <c r="AC787" s="1"/>
      <c r="AD787" s="1"/>
      <c r="AE787" s="1"/>
      <c r="AF787" s="1"/>
      <c r="AG787" s="1" t="str">
        <f t="shared" si="34"/>
        <v/>
      </c>
      <c r="AH787" s="1" t="str">
        <f t="shared" si="35"/>
        <v/>
      </c>
      <c r="AI787" s="1" t="str">
        <f>IF(AH787="", "", SUM($AH$4:AH787))</f>
        <v/>
      </c>
      <c r="AJ787" s="9"/>
    </row>
    <row r="788" spans="1:36">
      <c r="A788" s="7"/>
      <c r="X788" s="6" t="str">
        <f>IF(Table1[[#This Row],[WHRS NET KW TOTAL]]&lt;&gt;0,Table1[[#This Row],[WHRS NET KW TOTAL]]-U787,"")</f>
        <v/>
      </c>
      <c r="Y788" s="6" t="b">
        <f>IF(AND(Table1[[#This Row],[WHRS KW RECOVERED PER DAY]]&lt;&gt;0,Table1[[#This Row],[WHRS RH]]&lt;&gt;0),ROUND(Table1[[#This Row],[WHRS KW RECOVERED PER DAY]]/Table1[[#This Row],[WHRS RH]],1))</f>
        <v>0</v>
      </c>
      <c r="Z788" s="8"/>
      <c r="AA788" s="1"/>
      <c r="AB788" s="1"/>
      <c r="AC788" s="1"/>
      <c r="AD788" s="1"/>
      <c r="AE788" s="1"/>
      <c r="AF788" s="1"/>
      <c r="AG788" s="1" t="str">
        <f t="shared" si="34"/>
        <v/>
      </c>
      <c r="AH788" s="1" t="str">
        <f t="shared" si="35"/>
        <v/>
      </c>
      <c r="AI788" s="1" t="str">
        <f>IF(AH788="", "", SUM($AH$4:AH788))</f>
        <v/>
      </c>
      <c r="AJ788" s="9"/>
    </row>
    <row r="789" spans="1:36">
      <c r="A789" s="7"/>
      <c r="X789" s="6" t="str">
        <f>IF(Table1[[#This Row],[WHRS NET KW TOTAL]]&lt;&gt;0,Table1[[#This Row],[WHRS NET KW TOTAL]]-U788,"")</f>
        <v/>
      </c>
      <c r="Y789" s="6" t="b">
        <f>IF(AND(Table1[[#This Row],[WHRS KW RECOVERED PER DAY]]&lt;&gt;0,Table1[[#This Row],[WHRS RH]]&lt;&gt;0),ROUND(Table1[[#This Row],[WHRS KW RECOVERED PER DAY]]/Table1[[#This Row],[WHRS RH]],1))</f>
        <v>0</v>
      </c>
      <c r="Z789" s="8"/>
      <c r="AA789" s="1"/>
      <c r="AB789" s="1"/>
      <c r="AC789" s="1"/>
      <c r="AD789" s="1"/>
      <c r="AE789" s="1"/>
      <c r="AF789" s="1"/>
      <c r="AG789" s="1" t="str">
        <f t="shared" si="34"/>
        <v/>
      </c>
      <c r="AH789" s="1" t="str">
        <f t="shared" si="35"/>
        <v/>
      </c>
      <c r="AI789" s="1" t="str">
        <f>IF(AH789="", "", SUM($AH$4:AH789))</f>
        <v/>
      </c>
      <c r="AJ789" s="9"/>
    </row>
    <row r="790" spans="1:36">
      <c r="A790" s="7"/>
      <c r="X790" s="6" t="str">
        <f>IF(Table1[[#This Row],[WHRS NET KW TOTAL]]&lt;&gt;0,Table1[[#This Row],[WHRS NET KW TOTAL]]-U789,"")</f>
        <v/>
      </c>
      <c r="Y790" s="6" t="b">
        <f>IF(AND(Table1[[#This Row],[WHRS KW RECOVERED PER DAY]]&lt;&gt;0,Table1[[#This Row],[WHRS RH]]&lt;&gt;0),ROUND(Table1[[#This Row],[WHRS KW RECOVERED PER DAY]]/Table1[[#This Row],[WHRS RH]],1))</f>
        <v>0</v>
      </c>
      <c r="Z790" s="8"/>
      <c r="AA790" s="1"/>
      <c r="AB790" s="1"/>
      <c r="AC790" s="1"/>
      <c r="AD790" s="1"/>
      <c r="AE790" s="1"/>
      <c r="AF790" s="1"/>
      <c r="AG790" s="1" t="str">
        <f t="shared" si="34"/>
        <v/>
      </c>
      <c r="AH790" s="1" t="str">
        <f t="shared" si="35"/>
        <v/>
      </c>
      <c r="AI790" s="1" t="str">
        <f>IF(AH790="", "", SUM($AH$4:AH790))</f>
        <v/>
      </c>
      <c r="AJ790" s="9"/>
    </row>
    <row r="791" spans="1:36">
      <c r="A791" s="7"/>
      <c r="X791" s="6" t="str">
        <f>IF(Table1[[#This Row],[WHRS NET KW TOTAL]]&lt;&gt;0,Table1[[#This Row],[WHRS NET KW TOTAL]]-U790,"")</f>
        <v/>
      </c>
      <c r="Y791" s="6" t="b">
        <f>IF(AND(Table1[[#This Row],[WHRS KW RECOVERED PER DAY]]&lt;&gt;0,Table1[[#This Row],[WHRS RH]]&lt;&gt;0),ROUND(Table1[[#This Row],[WHRS KW RECOVERED PER DAY]]/Table1[[#This Row],[WHRS RH]],1))</f>
        <v>0</v>
      </c>
      <c r="Z791" s="8"/>
      <c r="AA791" s="1"/>
      <c r="AB791" s="1"/>
      <c r="AC791" s="1"/>
      <c r="AD791" s="1"/>
      <c r="AE791" s="1"/>
      <c r="AF791" s="1"/>
      <c r="AG791" s="1" t="str">
        <f t="shared" si="34"/>
        <v/>
      </c>
      <c r="AH791" s="1" t="str">
        <f t="shared" si="35"/>
        <v/>
      </c>
      <c r="AI791" s="1" t="str">
        <f>IF(AH791="", "", SUM($AH$4:AH791))</f>
        <v/>
      </c>
      <c r="AJ791" s="9"/>
    </row>
    <row r="792" spans="1:36">
      <c r="A792" s="7"/>
      <c r="X792" s="6" t="str">
        <f>IF(Table1[[#This Row],[WHRS NET KW TOTAL]]&lt;&gt;0,Table1[[#This Row],[WHRS NET KW TOTAL]]-U791,"")</f>
        <v/>
      </c>
      <c r="Y792" s="6" t="b">
        <f>IF(AND(Table1[[#This Row],[WHRS KW RECOVERED PER DAY]]&lt;&gt;0,Table1[[#This Row],[WHRS RH]]&lt;&gt;0),ROUND(Table1[[#This Row],[WHRS KW RECOVERED PER DAY]]/Table1[[#This Row],[WHRS RH]],1))</f>
        <v>0</v>
      </c>
      <c r="Z792" s="8"/>
      <c r="AA792" s="1"/>
      <c r="AB792" s="1"/>
      <c r="AC792" s="1"/>
      <c r="AD792" s="1"/>
      <c r="AE792" s="1"/>
      <c r="AF792" s="1"/>
      <c r="AG792" s="1" t="str">
        <f t="shared" si="34"/>
        <v/>
      </c>
      <c r="AH792" s="1" t="str">
        <f t="shared" si="35"/>
        <v/>
      </c>
      <c r="AI792" s="1" t="str">
        <f>IF(AH792="", "", SUM($AH$4:AH792))</f>
        <v/>
      </c>
      <c r="AJ792" s="9"/>
    </row>
    <row r="793" spans="1:36">
      <c r="A793" s="7"/>
      <c r="X793" s="6" t="str">
        <f>IF(Table1[[#This Row],[WHRS NET KW TOTAL]]&lt;&gt;0,Table1[[#This Row],[WHRS NET KW TOTAL]]-U792,"")</f>
        <v/>
      </c>
      <c r="Y793" s="6" t="b">
        <f>IF(AND(Table1[[#This Row],[WHRS KW RECOVERED PER DAY]]&lt;&gt;0,Table1[[#This Row],[WHRS RH]]&lt;&gt;0),ROUND(Table1[[#This Row],[WHRS KW RECOVERED PER DAY]]/Table1[[#This Row],[WHRS RH]],1))</f>
        <v>0</v>
      </c>
      <c r="Z793" s="8"/>
      <c r="AA793" s="1"/>
      <c r="AB793" s="1"/>
      <c r="AC793" s="1"/>
      <c r="AD793" s="1"/>
      <c r="AE793" s="1"/>
      <c r="AF793" s="1"/>
      <c r="AG793" s="1" t="str">
        <f t="shared" si="34"/>
        <v/>
      </c>
      <c r="AH793" s="1" t="str">
        <f t="shared" si="35"/>
        <v/>
      </c>
      <c r="AI793" s="1" t="str">
        <f>IF(AH793="", "", SUM($AH$4:AH793))</f>
        <v/>
      </c>
      <c r="AJ793" s="9"/>
    </row>
    <row r="794" spans="1:36">
      <c r="A794" s="7"/>
      <c r="X794" s="6" t="str">
        <f>IF(Table1[[#This Row],[WHRS NET KW TOTAL]]&lt;&gt;0,Table1[[#This Row],[WHRS NET KW TOTAL]]-U793,"")</f>
        <v/>
      </c>
      <c r="Y794" s="6" t="b">
        <f>IF(AND(Table1[[#This Row],[WHRS KW RECOVERED PER DAY]]&lt;&gt;0,Table1[[#This Row],[WHRS RH]]&lt;&gt;0),ROUND(Table1[[#This Row],[WHRS KW RECOVERED PER DAY]]/Table1[[#This Row],[WHRS RH]],1))</f>
        <v>0</v>
      </c>
      <c r="Z794" s="8"/>
      <c r="AA794" s="1"/>
      <c r="AB794" s="1"/>
      <c r="AC794" s="1"/>
      <c r="AD794" s="1"/>
      <c r="AE794" s="1"/>
      <c r="AF794" s="1"/>
      <c r="AG794" s="1" t="str">
        <f t="shared" si="34"/>
        <v/>
      </c>
      <c r="AH794" s="1" t="str">
        <f t="shared" si="35"/>
        <v/>
      </c>
      <c r="AI794" s="1" t="str">
        <f>IF(AH794="", "", SUM($AH$4:AH794))</f>
        <v/>
      </c>
      <c r="AJ794" s="9"/>
    </row>
    <row r="795" spans="1:36">
      <c r="A795" s="7"/>
      <c r="X795" s="6" t="str">
        <f>IF(Table1[[#This Row],[WHRS NET KW TOTAL]]&lt;&gt;0,Table1[[#This Row],[WHRS NET KW TOTAL]]-U794,"")</f>
        <v/>
      </c>
      <c r="Y795" s="6" t="b">
        <f>IF(AND(Table1[[#This Row],[WHRS KW RECOVERED PER DAY]]&lt;&gt;0,Table1[[#This Row],[WHRS RH]]&lt;&gt;0),ROUND(Table1[[#This Row],[WHRS KW RECOVERED PER DAY]]/Table1[[#This Row],[WHRS RH]],1))</f>
        <v>0</v>
      </c>
      <c r="Z795" s="8"/>
      <c r="AA795" s="1"/>
      <c r="AB795" s="1"/>
      <c r="AC795" s="1"/>
      <c r="AD795" s="1"/>
      <c r="AE795" s="1"/>
      <c r="AF795" s="1"/>
      <c r="AG795" s="1" t="str">
        <f t="shared" si="34"/>
        <v/>
      </c>
      <c r="AH795" s="1" t="str">
        <f t="shared" si="35"/>
        <v/>
      </c>
      <c r="AI795" s="1" t="str">
        <f>IF(AH795="", "", SUM($AH$4:AH795))</f>
        <v/>
      </c>
      <c r="AJ795" s="9"/>
    </row>
    <row r="796" spans="1:36">
      <c r="A796" s="7"/>
      <c r="X796" s="6" t="str">
        <f>IF(Table1[[#This Row],[WHRS NET KW TOTAL]]&lt;&gt;0,Table1[[#This Row],[WHRS NET KW TOTAL]]-U795,"")</f>
        <v/>
      </c>
      <c r="Y796" s="6" t="b">
        <f>IF(AND(Table1[[#This Row],[WHRS KW RECOVERED PER DAY]]&lt;&gt;0,Table1[[#This Row],[WHRS RH]]&lt;&gt;0),ROUND(Table1[[#This Row],[WHRS KW RECOVERED PER DAY]]/Table1[[#This Row],[WHRS RH]],1))</f>
        <v>0</v>
      </c>
      <c r="Z796" s="8"/>
      <c r="AA796" s="1"/>
      <c r="AB796" s="1"/>
      <c r="AC796" s="1"/>
      <c r="AD796" s="1"/>
      <c r="AE796" s="1"/>
      <c r="AF796" s="1"/>
      <c r="AG796" s="1" t="str">
        <f t="shared" si="34"/>
        <v/>
      </c>
      <c r="AH796" s="1" t="str">
        <f t="shared" si="35"/>
        <v/>
      </c>
      <c r="AI796" s="1" t="str">
        <f>IF(AH796="", "", SUM($AH$4:AH796))</f>
        <v/>
      </c>
      <c r="AJ796" s="9"/>
    </row>
    <row r="797" spans="1:36">
      <c r="A797" s="7"/>
      <c r="X797" s="6" t="str">
        <f>IF(Table1[[#This Row],[WHRS NET KW TOTAL]]&lt;&gt;0,Table1[[#This Row],[WHRS NET KW TOTAL]]-U796,"")</f>
        <v/>
      </c>
      <c r="Y797" s="6" t="b">
        <f>IF(AND(Table1[[#This Row],[WHRS KW RECOVERED PER DAY]]&lt;&gt;0,Table1[[#This Row],[WHRS RH]]&lt;&gt;0),ROUND(Table1[[#This Row],[WHRS KW RECOVERED PER DAY]]/Table1[[#This Row],[WHRS RH]],1))</f>
        <v>0</v>
      </c>
      <c r="Z797" s="8"/>
      <c r="AA797" s="1"/>
      <c r="AB797" s="1"/>
      <c r="AC797" s="1"/>
      <c r="AD797" s="1"/>
      <c r="AE797" s="1"/>
      <c r="AF797" s="1"/>
      <c r="AG797" s="1" t="str">
        <f t="shared" si="34"/>
        <v/>
      </c>
      <c r="AH797" s="1" t="str">
        <f t="shared" si="35"/>
        <v/>
      </c>
      <c r="AI797" s="1" t="str">
        <f>IF(AH797="", "", SUM($AH$4:AH797))</f>
        <v/>
      </c>
      <c r="AJ797" s="9"/>
    </row>
    <row r="798" spans="1:36">
      <c r="A798" s="7"/>
      <c r="X798" s="6" t="str">
        <f>IF(Table1[[#This Row],[WHRS NET KW TOTAL]]&lt;&gt;0,Table1[[#This Row],[WHRS NET KW TOTAL]]-U797,"")</f>
        <v/>
      </c>
      <c r="Y798" s="6" t="b">
        <f>IF(AND(Table1[[#This Row],[WHRS KW RECOVERED PER DAY]]&lt;&gt;0,Table1[[#This Row],[WHRS RH]]&lt;&gt;0),ROUND(Table1[[#This Row],[WHRS KW RECOVERED PER DAY]]/Table1[[#This Row],[WHRS RH]],1))</f>
        <v>0</v>
      </c>
      <c r="Z798" s="8"/>
      <c r="AA798" s="1"/>
      <c r="AB798" s="1"/>
      <c r="AC798" s="1"/>
      <c r="AD798" s="1"/>
      <c r="AE798" s="1"/>
      <c r="AF798" s="1"/>
      <c r="AG798" s="1" t="str">
        <f t="shared" si="34"/>
        <v/>
      </c>
      <c r="AH798" s="1" t="str">
        <f t="shared" si="35"/>
        <v/>
      </c>
      <c r="AI798" s="1" t="str">
        <f>IF(AH798="", "", SUM($AH$4:AH798))</f>
        <v/>
      </c>
      <c r="AJ798" s="9"/>
    </row>
    <row r="799" spans="1:36">
      <c r="A799" s="7"/>
      <c r="X799" s="6" t="str">
        <f>IF(Table1[[#This Row],[WHRS NET KW TOTAL]]&lt;&gt;0,Table1[[#This Row],[WHRS NET KW TOTAL]]-U798,"")</f>
        <v/>
      </c>
      <c r="Y799" s="6" t="b">
        <f>IF(AND(Table1[[#This Row],[WHRS KW RECOVERED PER DAY]]&lt;&gt;0,Table1[[#This Row],[WHRS RH]]&lt;&gt;0),ROUND(Table1[[#This Row],[WHRS KW RECOVERED PER DAY]]/Table1[[#This Row],[WHRS RH]],1))</f>
        <v>0</v>
      </c>
      <c r="Z799" s="8"/>
      <c r="AA799" s="1"/>
      <c r="AB799" s="1"/>
      <c r="AC799" s="1"/>
      <c r="AD799" s="1"/>
      <c r="AE799" s="1"/>
      <c r="AF799" s="1"/>
      <c r="AG799" s="1" t="str">
        <f t="shared" si="34"/>
        <v/>
      </c>
      <c r="AH799" s="1" t="str">
        <f t="shared" si="35"/>
        <v/>
      </c>
      <c r="AI799" s="1" t="str">
        <f>IF(AH799="", "", SUM($AH$4:AH799))</f>
        <v/>
      </c>
      <c r="AJ799" s="9"/>
    </row>
    <row r="800" spans="1:36">
      <c r="A800" s="7"/>
      <c r="X800" s="6" t="str">
        <f>IF(Table1[[#This Row],[WHRS NET KW TOTAL]]&lt;&gt;0,Table1[[#This Row],[WHRS NET KW TOTAL]]-U799,"")</f>
        <v/>
      </c>
      <c r="Y800" s="6" t="b">
        <f>IF(AND(Table1[[#This Row],[WHRS KW RECOVERED PER DAY]]&lt;&gt;0,Table1[[#This Row],[WHRS RH]]&lt;&gt;0),ROUND(Table1[[#This Row],[WHRS KW RECOVERED PER DAY]]/Table1[[#This Row],[WHRS RH]],1))</f>
        <v>0</v>
      </c>
      <c r="Z800" s="8"/>
      <c r="AA800" s="1"/>
      <c r="AB800" s="1"/>
      <c r="AC800" s="1"/>
      <c r="AD800" s="1"/>
      <c r="AE800" s="1"/>
      <c r="AF800" s="1"/>
      <c r="AG800" s="1" t="str">
        <f t="shared" si="34"/>
        <v/>
      </c>
      <c r="AH800" s="1" t="str">
        <f t="shared" si="35"/>
        <v/>
      </c>
      <c r="AI800" s="1" t="str">
        <f>IF(AH800="", "", SUM($AH$4:AH800))</f>
        <v/>
      </c>
      <c r="AJ800" s="9"/>
    </row>
    <row r="801" spans="1:36">
      <c r="A801" s="7"/>
      <c r="X801" s="6" t="str">
        <f>IF(Table1[[#This Row],[WHRS NET KW TOTAL]]&lt;&gt;0,Table1[[#This Row],[WHRS NET KW TOTAL]]-U800,"")</f>
        <v/>
      </c>
      <c r="Y801" s="6" t="b">
        <f>IF(AND(Table1[[#This Row],[WHRS KW RECOVERED PER DAY]]&lt;&gt;0,Table1[[#This Row],[WHRS RH]]&lt;&gt;0),ROUND(Table1[[#This Row],[WHRS KW RECOVERED PER DAY]]/Table1[[#This Row],[WHRS RH]],1))</f>
        <v>0</v>
      </c>
      <c r="Z801" s="8"/>
      <c r="AA801" s="1"/>
      <c r="AB801" s="1"/>
      <c r="AC801" s="1"/>
      <c r="AD801" s="1"/>
      <c r="AE801" s="1"/>
      <c r="AF801" s="1"/>
      <c r="AG801" s="1" t="str">
        <f t="shared" si="34"/>
        <v/>
      </c>
      <c r="AH801" s="1" t="str">
        <f t="shared" si="35"/>
        <v/>
      </c>
      <c r="AI801" s="1" t="str">
        <f>IF(AH801="", "", SUM($AH$4:AH801))</f>
        <v/>
      </c>
      <c r="AJ801" s="9"/>
    </row>
    <row r="802" spans="1:36">
      <c r="A802" s="7"/>
      <c r="X802" s="6" t="str">
        <f>IF(Table1[[#This Row],[WHRS NET KW TOTAL]]&lt;&gt;0,Table1[[#This Row],[WHRS NET KW TOTAL]]-U801,"")</f>
        <v/>
      </c>
      <c r="Y802" s="6" t="b">
        <f>IF(AND(Table1[[#This Row],[WHRS KW RECOVERED PER DAY]]&lt;&gt;0,Table1[[#This Row],[WHRS RH]]&lt;&gt;0),ROUND(Table1[[#This Row],[WHRS KW RECOVERED PER DAY]]/Table1[[#This Row],[WHRS RH]],1))</f>
        <v>0</v>
      </c>
      <c r="Z802" s="8"/>
      <c r="AA802" s="1"/>
      <c r="AB802" s="1"/>
      <c r="AC802" s="1"/>
      <c r="AD802" s="1"/>
      <c r="AE802" s="1"/>
      <c r="AF802" s="1"/>
      <c r="AG802" s="1" t="str">
        <f t="shared" si="34"/>
        <v/>
      </c>
      <c r="AH802" s="1" t="str">
        <f t="shared" si="35"/>
        <v/>
      </c>
      <c r="AI802" s="1" t="str">
        <f>IF(AH802="", "", SUM($AH$4:AH802))</f>
        <v/>
      </c>
      <c r="AJ802" s="9"/>
    </row>
    <row r="803" spans="1:36">
      <c r="A803" s="7"/>
      <c r="X803" s="6" t="str">
        <f>IF(Table1[[#This Row],[WHRS NET KW TOTAL]]&lt;&gt;0,Table1[[#This Row],[WHRS NET KW TOTAL]]-U802,"")</f>
        <v/>
      </c>
      <c r="Y803" s="6" t="b">
        <f>IF(AND(Table1[[#This Row],[WHRS KW RECOVERED PER DAY]]&lt;&gt;0,Table1[[#This Row],[WHRS RH]]&lt;&gt;0),ROUND(Table1[[#This Row],[WHRS KW RECOVERED PER DAY]]/Table1[[#This Row],[WHRS RH]],1))</f>
        <v>0</v>
      </c>
      <c r="Z803" s="8"/>
      <c r="AA803" s="1"/>
      <c r="AB803" s="1"/>
      <c r="AC803" s="1"/>
      <c r="AD803" s="1"/>
      <c r="AE803" s="1"/>
      <c r="AF803" s="1"/>
      <c r="AG803" s="1" t="str">
        <f t="shared" si="34"/>
        <v/>
      </c>
      <c r="AH803" s="1" t="str">
        <f t="shared" si="35"/>
        <v/>
      </c>
      <c r="AI803" s="1" t="str">
        <f>IF(AH803="", "", SUM($AH$4:AH803))</f>
        <v/>
      </c>
      <c r="AJ803" s="9"/>
    </row>
    <row r="804" spans="1:36">
      <c r="A804" s="7"/>
      <c r="X804" s="6" t="str">
        <f>IF(Table1[[#This Row],[WHRS NET KW TOTAL]]&lt;&gt;0,Table1[[#This Row],[WHRS NET KW TOTAL]]-U803,"")</f>
        <v/>
      </c>
      <c r="Y804" s="6" t="b">
        <f>IF(AND(Table1[[#This Row],[WHRS KW RECOVERED PER DAY]]&lt;&gt;0,Table1[[#This Row],[WHRS RH]]&lt;&gt;0),ROUND(Table1[[#This Row],[WHRS KW RECOVERED PER DAY]]/Table1[[#This Row],[WHRS RH]],1))</f>
        <v>0</v>
      </c>
      <c r="Z804" s="8"/>
      <c r="AA804" s="1"/>
      <c r="AB804" s="1"/>
      <c r="AC804" s="1"/>
      <c r="AD804" s="1"/>
      <c r="AE804" s="1"/>
      <c r="AF804" s="1"/>
      <c r="AG804" s="1" t="str">
        <f t="shared" si="34"/>
        <v/>
      </c>
      <c r="AH804" s="1" t="str">
        <f t="shared" si="35"/>
        <v/>
      </c>
      <c r="AI804" s="1" t="str">
        <f>IF(AH804="", "", SUM($AH$4:AH804))</f>
        <v/>
      </c>
      <c r="AJ804" s="9"/>
    </row>
    <row r="805" spans="1:36">
      <c r="A805" s="7"/>
      <c r="X805" s="6" t="str">
        <f>IF(Table1[[#This Row],[WHRS NET KW TOTAL]]&lt;&gt;0,Table1[[#This Row],[WHRS NET KW TOTAL]]-U804,"")</f>
        <v/>
      </c>
      <c r="Y805" s="6" t="b">
        <f>IF(AND(Table1[[#This Row],[WHRS KW RECOVERED PER DAY]]&lt;&gt;0,Table1[[#This Row],[WHRS RH]]&lt;&gt;0),ROUND(Table1[[#This Row],[WHRS KW RECOVERED PER DAY]]/Table1[[#This Row],[WHRS RH]],1))</f>
        <v>0</v>
      </c>
      <c r="Z805" s="8"/>
      <c r="AA805" s="1"/>
      <c r="AB805" s="1"/>
      <c r="AC805" s="1"/>
      <c r="AD805" s="1"/>
      <c r="AE805" s="1"/>
      <c r="AF805" s="1"/>
      <c r="AG805" s="1" t="str">
        <f t="shared" si="34"/>
        <v/>
      </c>
      <c r="AH805" s="1" t="str">
        <f t="shared" si="35"/>
        <v/>
      </c>
      <c r="AI805" s="1" t="str">
        <f>IF(AH805="", "", SUM($AH$4:AH805))</f>
        <v/>
      </c>
      <c r="AJ805" s="9"/>
    </row>
    <row r="806" spans="1:36">
      <c r="A806" s="7"/>
      <c r="X806" s="6" t="str">
        <f>IF(Table1[[#This Row],[WHRS NET KW TOTAL]]&lt;&gt;0,Table1[[#This Row],[WHRS NET KW TOTAL]]-U805,"")</f>
        <v/>
      </c>
      <c r="Y806" s="6" t="b">
        <f>IF(AND(Table1[[#This Row],[WHRS KW RECOVERED PER DAY]]&lt;&gt;0,Table1[[#This Row],[WHRS RH]]&lt;&gt;0),ROUND(Table1[[#This Row],[WHRS KW RECOVERED PER DAY]]/Table1[[#This Row],[WHRS RH]],1))</f>
        <v>0</v>
      </c>
      <c r="Z806" s="8"/>
      <c r="AA806" s="1"/>
      <c r="AB806" s="1"/>
      <c r="AC806" s="1"/>
      <c r="AD806" s="1"/>
      <c r="AE806" s="1"/>
      <c r="AF806" s="1"/>
      <c r="AG806" s="1" t="str">
        <f t="shared" si="34"/>
        <v/>
      </c>
      <c r="AH806" s="1" t="str">
        <f t="shared" si="35"/>
        <v/>
      </c>
      <c r="AI806" s="1" t="str">
        <f>IF(AH806="", "", SUM($AH$4:AH806))</f>
        <v/>
      </c>
      <c r="AJ806" s="9"/>
    </row>
    <row r="807" spans="1:36">
      <c r="A807" s="7"/>
      <c r="X807" s="6" t="str">
        <f>IF(Table1[[#This Row],[WHRS NET KW TOTAL]]&lt;&gt;0,Table1[[#This Row],[WHRS NET KW TOTAL]]-U806,"")</f>
        <v/>
      </c>
      <c r="Y807" s="6" t="b">
        <f>IF(AND(Table1[[#This Row],[WHRS KW RECOVERED PER DAY]]&lt;&gt;0,Table1[[#This Row],[WHRS RH]]&lt;&gt;0),ROUND(Table1[[#This Row],[WHRS KW RECOVERED PER DAY]]/Table1[[#This Row],[WHRS RH]],1))</f>
        <v>0</v>
      </c>
      <c r="Z807" s="8"/>
      <c r="AA807" s="1"/>
      <c r="AB807" s="1"/>
      <c r="AC807" s="1"/>
      <c r="AD807" s="1"/>
      <c r="AE807" s="1"/>
      <c r="AF807" s="1"/>
      <c r="AG807" s="1" t="str">
        <f t="shared" si="34"/>
        <v/>
      </c>
      <c r="AH807" s="1" t="str">
        <f t="shared" si="35"/>
        <v/>
      </c>
      <c r="AI807" s="1" t="str">
        <f>IF(AH807="", "", SUM($AH$4:AH807))</f>
        <v/>
      </c>
      <c r="AJ807" s="9"/>
    </row>
    <row r="808" spans="1:36">
      <c r="A808" s="7"/>
      <c r="X808" s="6" t="str">
        <f>IF(Table1[[#This Row],[WHRS NET KW TOTAL]]&lt;&gt;0,Table1[[#This Row],[WHRS NET KW TOTAL]]-U807,"")</f>
        <v/>
      </c>
      <c r="Y808" s="6" t="b">
        <f>IF(AND(Table1[[#This Row],[WHRS KW RECOVERED PER DAY]]&lt;&gt;0,Table1[[#This Row],[WHRS RH]]&lt;&gt;0),ROUND(Table1[[#This Row],[WHRS KW RECOVERED PER DAY]]/Table1[[#This Row],[WHRS RH]],1))</f>
        <v>0</v>
      </c>
      <c r="Z808" s="8"/>
      <c r="AA808" s="1"/>
      <c r="AB808" s="1"/>
      <c r="AC808" s="1"/>
      <c r="AD808" s="1"/>
      <c r="AE808" s="1"/>
      <c r="AF808" s="1"/>
      <c r="AG808" s="1" t="str">
        <f t="shared" si="34"/>
        <v/>
      </c>
      <c r="AH808" s="1" t="str">
        <f t="shared" si="35"/>
        <v/>
      </c>
      <c r="AI808" s="1" t="str">
        <f>IF(AH808="", "", SUM($AH$4:AH808))</f>
        <v/>
      </c>
      <c r="AJ808" s="9"/>
    </row>
    <row r="809" spans="1:36">
      <c r="A809" s="7"/>
      <c r="X809" s="6" t="str">
        <f>IF(Table1[[#This Row],[WHRS NET KW TOTAL]]&lt;&gt;0,Table1[[#This Row],[WHRS NET KW TOTAL]]-U808,"")</f>
        <v/>
      </c>
      <c r="Y809" s="6" t="b">
        <f>IF(AND(Table1[[#This Row],[WHRS KW RECOVERED PER DAY]]&lt;&gt;0,Table1[[#This Row],[WHRS RH]]&lt;&gt;0),ROUND(Table1[[#This Row],[WHRS KW RECOVERED PER DAY]]/Table1[[#This Row],[WHRS RH]],1))</f>
        <v>0</v>
      </c>
      <c r="Z809" s="8"/>
      <c r="AA809" s="1"/>
      <c r="AB809" s="1"/>
      <c r="AC809" s="1"/>
      <c r="AD809" s="1"/>
      <c r="AE809" s="1"/>
      <c r="AF809" s="1"/>
      <c r="AG809" s="1" t="str">
        <f t="shared" si="34"/>
        <v/>
      </c>
      <c r="AH809" s="1" t="str">
        <f t="shared" si="35"/>
        <v/>
      </c>
      <c r="AI809" s="1" t="str">
        <f>IF(AH809="", "", SUM($AH$4:AH809))</f>
        <v/>
      </c>
      <c r="AJ809" s="9"/>
    </row>
    <row r="810" spans="1:36">
      <c r="A810" s="7"/>
      <c r="X810" s="6" t="str">
        <f>IF(Table1[[#This Row],[WHRS NET KW TOTAL]]&lt;&gt;0,Table1[[#This Row],[WHRS NET KW TOTAL]]-U809,"")</f>
        <v/>
      </c>
      <c r="Y810" s="6" t="b">
        <f>IF(AND(Table1[[#This Row],[WHRS KW RECOVERED PER DAY]]&lt;&gt;0,Table1[[#This Row],[WHRS RH]]&lt;&gt;0),ROUND(Table1[[#This Row],[WHRS KW RECOVERED PER DAY]]/Table1[[#This Row],[WHRS RH]],1))</f>
        <v>0</v>
      </c>
      <c r="Z810" s="8"/>
      <c r="AA810" s="1"/>
      <c r="AB810" s="1"/>
      <c r="AC810" s="1"/>
      <c r="AD810" s="1"/>
      <c r="AE810" s="1"/>
      <c r="AF810" s="1"/>
      <c r="AG810" s="1" t="str">
        <f t="shared" si="34"/>
        <v/>
      </c>
      <c r="AH810" s="1" t="str">
        <f t="shared" si="35"/>
        <v/>
      </c>
      <c r="AI810" s="1" t="str">
        <f>IF(AH810="", "", SUM($AH$4:AH810))</f>
        <v/>
      </c>
      <c r="AJ810" s="9"/>
    </row>
    <row r="811" spans="1:36">
      <c r="A811" s="7"/>
      <c r="X811" s="6" t="str">
        <f>IF(Table1[[#This Row],[WHRS NET KW TOTAL]]&lt;&gt;0,Table1[[#This Row],[WHRS NET KW TOTAL]]-U810,"")</f>
        <v/>
      </c>
      <c r="Y811" s="6" t="b">
        <f>IF(AND(Table1[[#This Row],[WHRS KW RECOVERED PER DAY]]&lt;&gt;0,Table1[[#This Row],[WHRS RH]]&lt;&gt;0),ROUND(Table1[[#This Row],[WHRS KW RECOVERED PER DAY]]/Table1[[#This Row],[WHRS RH]],1))</f>
        <v>0</v>
      </c>
      <c r="Z811" s="8"/>
      <c r="AA811" s="1"/>
      <c r="AB811" s="1"/>
      <c r="AC811" s="1"/>
      <c r="AD811" s="1"/>
      <c r="AE811" s="1"/>
      <c r="AF811" s="1"/>
      <c r="AG811" s="1" t="str">
        <f t="shared" si="34"/>
        <v/>
      </c>
      <c r="AH811" s="1" t="str">
        <f t="shared" si="35"/>
        <v/>
      </c>
      <c r="AI811" s="1" t="str">
        <f>IF(AH811="", "", SUM($AH$4:AH811))</f>
        <v/>
      </c>
      <c r="AJ811" s="9"/>
    </row>
    <row r="812" spans="1:36">
      <c r="A812" s="7"/>
      <c r="X812" s="6" t="str">
        <f>IF(Table1[[#This Row],[WHRS NET KW TOTAL]]&lt;&gt;0,Table1[[#This Row],[WHRS NET KW TOTAL]]-U811,"")</f>
        <v/>
      </c>
      <c r="Y812" s="6" t="b">
        <f>IF(AND(Table1[[#This Row],[WHRS KW RECOVERED PER DAY]]&lt;&gt;0,Table1[[#This Row],[WHRS RH]]&lt;&gt;0),ROUND(Table1[[#This Row],[WHRS KW RECOVERED PER DAY]]/Table1[[#This Row],[WHRS RH]],1))</f>
        <v>0</v>
      </c>
      <c r="Z812" s="8"/>
      <c r="AA812" s="1"/>
      <c r="AB812" s="1"/>
      <c r="AC812" s="1"/>
      <c r="AD812" s="1"/>
      <c r="AE812" s="1"/>
      <c r="AF812" s="1"/>
      <c r="AG812" s="1" t="str">
        <f t="shared" si="34"/>
        <v/>
      </c>
      <c r="AH812" s="1" t="str">
        <f t="shared" si="35"/>
        <v/>
      </c>
      <c r="AI812" s="1" t="str">
        <f>IF(AH812="", "", SUM($AH$4:AH812))</f>
        <v/>
      </c>
      <c r="AJ812" s="9"/>
    </row>
    <row r="813" spans="1:36">
      <c r="A813" s="7"/>
      <c r="X813" s="6" t="str">
        <f>IF(Table1[[#This Row],[WHRS NET KW TOTAL]]&lt;&gt;0,Table1[[#This Row],[WHRS NET KW TOTAL]]-U812,"")</f>
        <v/>
      </c>
      <c r="Y813" s="6" t="b">
        <f>IF(AND(Table1[[#This Row],[WHRS KW RECOVERED PER DAY]]&lt;&gt;0,Table1[[#This Row],[WHRS RH]]&lt;&gt;0),ROUND(Table1[[#This Row],[WHRS KW RECOVERED PER DAY]]/Table1[[#This Row],[WHRS RH]],1))</f>
        <v>0</v>
      </c>
      <c r="Z813" s="8"/>
      <c r="AA813" s="1"/>
      <c r="AB813" s="1"/>
      <c r="AC813" s="1"/>
      <c r="AD813" s="1"/>
      <c r="AE813" s="1"/>
      <c r="AF813" s="1"/>
      <c r="AG813" s="1" t="str">
        <f t="shared" si="34"/>
        <v/>
      </c>
      <c r="AH813" s="1" t="str">
        <f t="shared" si="35"/>
        <v/>
      </c>
      <c r="AI813" s="1" t="str">
        <f>IF(AH813="", "", SUM($AH$4:AH813))</f>
        <v/>
      </c>
      <c r="AJ813" s="9"/>
    </row>
    <row r="814" spans="1:36">
      <c r="A814" s="7"/>
      <c r="X814" s="6" t="str">
        <f>IF(Table1[[#This Row],[WHRS NET KW TOTAL]]&lt;&gt;0,Table1[[#This Row],[WHRS NET KW TOTAL]]-U813,"")</f>
        <v/>
      </c>
      <c r="Y814" s="6" t="b">
        <f>IF(AND(Table1[[#This Row],[WHRS KW RECOVERED PER DAY]]&lt;&gt;0,Table1[[#This Row],[WHRS RH]]&lt;&gt;0),ROUND(Table1[[#This Row],[WHRS KW RECOVERED PER DAY]]/Table1[[#This Row],[WHRS RH]],1))</f>
        <v>0</v>
      </c>
      <c r="Z814" s="8"/>
      <c r="AA814" s="1"/>
      <c r="AB814" s="1"/>
      <c r="AC814" s="1"/>
      <c r="AD814" s="1"/>
      <c r="AE814" s="1"/>
      <c r="AF814" s="1"/>
      <c r="AG814" s="1" t="str">
        <f t="shared" si="34"/>
        <v/>
      </c>
      <c r="AH814" s="1" t="str">
        <f t="shared" si="35"/>
        <v/>
      </c>
      <c r="AI814" s="1" t="str">
        <f>IF(AH814="", "", SUM($AH$4:AH814))</f>
        <v/>
      </c>
      <c r="AJ814" s="9"/>
    </row>
    <row r="815" spans="1:36">
      <c r="A815" s="7"/>
      <c r="X815" s="6" t="str">
        <f>IF(Table1[[#This Row],[WHRS NET KW TOTAL]]&lt;&gt;0,Table1[[#This Row],[WHRS NET KW TOTAL]]-U814,"")</f>
        <v/>
      </c>
      <c r="Y815" s="6" t="b">
        <f>IF(AND(Table1[[#This Row],[WHRS KW RECOVERED PER DAY]]&lt;&gt;0,Table1[[#This Row],[WHRS RH]]&lt;&gt;0),ROUND(Table1[[#This Row],[WHRS KW RECOVERED PER DAY]]/Table1[[#This Row],[WHRS RH]],1))</f>
        <v>0</v>
      </c>
      <c r="Z815" s="8"/>
      <c r="AA815" s="1"/>
      <c r="AB815" s="1"/>
      <c r="AC815" s="1"/>
      <c r="AD815" s="1"/>
      <c r="AE815" s="1"/>
      <c r="AF815" s="1"/>
      <c r="AG815" s="1" t="str">
        <f t="shared" si="34"/>
        <v/>
      </c>
      <c r="AH815" s="1" t="str">
        <f t="shared" si="35"/>
        <v/>
      </c>
      <c r="AI815" s="1" t="str">
        <f>IF(AH815="", "", SUM($AH$4:AH815))</f>
        <v/>
      </c>
      <c r="AJ815" s="9"/>
    </row>
    <row r="816" spans="1:36">
      <c r="A816" s="7"/>
      <c r="X816" s="6" t="str">
        <f>IF(Table1[[#This Row],[WHRS NET KW TOTAL]]&lt;&gt;0,Table1[[#This Row],[WHRS NET KW TOTAL]]-U815,"")</f>
        <v/>
      </c>
      <c r="Y816" s="6" t="b">
        <f>IF(AND(Table1[[#This Row],[WHRS KW RECOVERED PER DAY]]&lt;&gt;0,Table1[[#This Row],[WHRS RH]]&lt;&gt;0),ROUND(Table1[[#This Row],[WHRS KW RECOVERED PER DAY]]/Table1[[#This Row],[WHRS RH]],1))</f>
        <v>0</v>
      </c>
      <c r="Z816" s="8"/>
      <c r="AA816" s="1"/>
      <c r="AB816" s="1"/>
      <c r="AC816" s="1"/>
      <c r="AD816" s="1"/>
      <c r="AE816" s="1"/>
      <c r="AF816" s="1"/>
      <c r="AG816" s="1" t="str">
        <f t="shared" si="34"/>
        <v/>
      </c>
      <c r="AH816" s="1" t="str">
        <f t="shared" si="35"/>
        <v/>
      </c>
      <c r="AI816" s="1" t="str">
        <f>IF(AH816="", "", SUM($AH$4:AH816))</f>
        <v/>
      </c>
      <c r="AJ816" s="9"/>
    </row>
    <row r="817" spans="1:36">
      <c r="A817" s="7"/>
      <c r="X817" s="6" t="str">
        <f>IF(Table1[[#This Row],[WHRS NET KW TOTAL]]&lt;&gt;0,Table1[[#This Row],[WHRS NET KW TOTAL]]-U816,"")</f>
        <v/>
      </c>
      <c r="Y817" s="6" t="b">
        <f>IF(AND(Table1[[#This Row],[WHRS KW RECOVERED PER DAY]]&lt;&gt;0,Table1[[#This Row],[WHRS RH]]&lt;&gt;0),ROUND(Table1[[#This Row],[WHRS KW RECOVERED PER DAY]]/Table1[[#This Row],[WHRS RH]],1))</f>
        <v>0</v>
      </c>
      <c r="Z817" s="8"/>
      <c r="AA817" s="1"/>
      <c r="AB817" s="1"/>
      <c r="AC817" s="1"/>
      <c r="AD817" s="1"/>
      <c r="AE817" s="1"/>
      <c r="AF817" s="1"/>
      <c r="AG817" s="1" t="str">
        <f t="shared" si="34"/>
        <v/>
      </c>
      <c r="AH817" s="1" t="str">
        <f t="shared" si="35"/>
        <v/>
      </c>
      <c r="AI817" s="1" t="str">
        <f>IF(AH817="", "", SUM($AH$4:AH817))</f>
        <v/>
      </c>
      <c r="AJ817" s="9"/>
    </row>
    <row r="818" spans="1:36">
      <c r="A818" s="7"/>
      <c r="X818" s="6" t="str">
        <f>IF(Table1[[#This Row],[WHRS NET KW TOTAL]]&lt;&gt;0,Table1[[#This Row],[WHRS NET KW TOTAL]]-U817,"")</f>
        <v/>
      </c>
      <c r="Y818" s="6" t="b">
        <f>IF(AND(Table1[[#This Row],[WHRS KW RECOVERED PER DAY]]&lt;&gt;0,Table1[[#This Row],[WHRS RH]]&lt;&gt;0),ROUND(Table1[[#This Row],[WHRS KW RECOVERED PER DAY]]/Table1[[#This Row],[WHRS RH]],1))</f>
        <v>0</v>
      </c>
      <c r="Z818" s="8"/>
      <c r="AA818" s="1"/>
      <c r="AB818" s="1"/>
      <c r="AC818" s="1"/>
      <c r="AD818" s="1"/>
      <c r="AE818" s="1"/>
      <c r="AF818" s="1"/>
      <c r="AG818" s="1" t="str">
        <f t="shared" si="34"/>
        <v/>
      </c>
      <c r="AH818" s="1" t="str">
        <f t="shared" si="35"/>
        <v/>
      </c>
      <c r="AI818" s="1" t="str">
        <f>IF(AH818="", "", SUM($AH$4:AH818))</f>
        <v/>
      </c>
      <c r="AJ818" s="9"/>
    </row>
    <row r="819" spans="1:36">
      <c r="A819" s="7"/>
      <c r="X819" s="6" t="str">
        <f>IF(Table1[[#This Row],[WHRS NET KW TOTAL]]&lt;&gt;0,Table1[[#This Row],[WHRS NET KW TOTAL]]-U818,"")</f>
        <v/>
      </c>
      <c r="Y819" s="6" t="b">
        <f>IF(AND(Table1[[#This Row],[WHRS KW RECOVERED PER DAY]]&lt;&gt;0,Table1[[#This Row],[WHRS RH]]&lt;&gt;0),ROUND(Table1[[#This Row],[WHRS KW RECOVERED PER DAY]]/Table1[[#This Row],[WHRS RH]],1))</f>
        <v>0</v>
      </c>
      <c r="Z819" s="8"/>
      <c r="AA819" s="1"/>
      <c r="AB819" s="1"/>
      <c r="AC819" s="1"/>
      <c r="AD819" s="1"/>
      <c r="AE819" s="1"/>
      <c r="AF819" s="1"/>
      <c r="AG819" s="1" t="str">
        <f t="shared" si="34"/>
        <v/>
      </c>
      <c r="AH819" s="1" t="str">
        <f t="shared" si="35"/>
        <v/>
      </c>
      <c r="AI819" s="1" t="str">
        <f>IF(AH819="", "", SUM($AH$4:AH819))</f>
        <v/>
      </c>
      <c r="AJ819" s="9"/>
    </row>
    <row r="820" spans="1:36">
      <c r="A820" s="7"/>
      <c r="X820" s="6" t="str">
        <f>IF(Table1[[#This Row],[WHRS NET KW TOTAL]]&lt;&gt;0,Table1[[#This Row],[WHRS NET KW TOTAL]]-U819,"")</f>
        <v/>
      </c>
      <c r="Y820" s="6" t="b">
        <f>IF(AND(Table1[[#This Row],[WHRS KW RECOVERED PER DAY]]&lt;&gt;0,Table1[[#This Row],[WHRS RH]]&lt;&gt;0),ROUND(Table1[[#This Row],[WHRS KW RECOVERED PER DAY]]/Table1[[#This Row],[WHRS RH]],1))</f>
        <v>0</v>
      </c>
      <c r="Z820" s="8"/>
      <c r="AA820" s="1"/>
      <c r="AB820" s="1"/>
      <c r="AC820" s="1"/>
      <c r="AD820" s="1"/>
      <c r="AE820" s="1"/>
      <c r="AF820" s="1"/>
      <c r="AG820" s="1" t="str">
        <f t="shared" si="34"/>
        <v/>
      </c>
      <c r="AH820" s="1" t="str">
        <f t="shared" si="35"/>
        <v/>
      </c>
      <c r="AI820" s="1" t="str">
        <f>IF(AH820="", "", SUM($AH$4:AH820))</f>
        <v/>
      </c>
      <c r="AJ820" s="9"/>
    </row>
    <row r="821" spans="1:36">
      <c r="A821" s="7"/>
      <c r="X821" s="6" t="str">
        <f>IF(Table1[[#This Row],[WHRS NET KW TOTAL]]&lt;&gt;0,Table1[[#This Row],[WHRS NET KW TOTAL]]-U820,"")</f>
        <v/>
      </c>
      <c r="Y821" s="6" t="b">
        <f>IF(AND(Table1[[#This Row],[WHRS KW RECOVERED PER DAY]]&lt;&gt;0,Table1[[#This Row],[WHRS RH]]&lt;&gt;0),ROUND(Table1[[#This Row],[WHRS KW RECOVERED PER DAY]]/Table1[[#This Row],[WHRS RH]],1))</f>
        <v>0</v>
      </c>
      <c r="Z821" s="8"/>
      <c r="AA821" s="1"/>
      <c r="AB821" s="1"/>
      <c r="AC821" s="1"/>
      <c r="AD821" s="1"/>
      <c r="AE821" s="1"/>
      <c r="AF821" s="1"/>
      <c r="AG821" s="1" t="str">
        <f t="shared" si="34"/>
        <v/>
      </c>
      <c r="AH821" s="1" t="str">
        <f t="shared" si="35"/>
        <v/>
      </c>
      <c r="AI821" s="1" t="str">
        <f>IF(AH821="", "", SUM($AH$4:AH821))</f>
        <v/>
      </c>
      <c r="AJ821" s="9"/>
    </row>
    <row r="822" spans="1:36">
      <c r="A822" s="7"/>
      <c r="X822" s="6" t="str">
        <f>IF(Table1[[#This Row],[WHRS NET KW TOTAL]]&lt;&gt;0,Table1[[#This Row],[WHRS NET KW TOTAL]]-U821,"")</f>
        <v/>
      </c>
      <c r="Y822" s="6" t="b">
        <f>IF(AND(Table1[[#This Row],[WHRS KW RECOVERED PER DAY]]&lt;&gt;0,Table1[[#This Row],[WHRS RH]]&lt;&gt;0),ROUND(Table1[[#This Row],[WHRS KW RECOVERED PER DAY]]/Table1[[#This Row],[WHRS RH]],1))</f>
        <v>0</v>
      </c>
      <c r="Z822" s="8"/>
      <c r="AA822" s="1"/>
      <c r="AB822" s="1"/>
      <c r="AC822" s="1"/>
      <c r="AD822" s="1"/>
      <c r="AE822" s="1"/>
      <c r="AF822" s="1"/>
      <c r="AG822" s="1" t="str">
        <f t="shared" si="34"/>
        <v/>
      </c>
      <c r="AH822" s="1" t="str">
        <f t="shared" si="35"/>
        <v/>
      </c>
      <c r="AI822" s="1" t="str">
        <f>IF(AH822="", "", SUM($AH$4:AH822))</f>
        <v/>
      </c>
      <c r="AJ822" s="9"/>
    </row>
    <row r="823" spans="1:36">
      <c r="A823" s="7"/>
      <c r="X823" s="6" t="str">
        <f>IF(Table1[[#This Row],[WHRS NET KW TOTAL]]&lt;&gt;0,Table1[[#This Row],[WHRS NET KW TOTAL]]-U822,"")</f>
        <v/>
      </c>
      <c r="Y823" s="6" t="b">
        <f>IF(AND(Table1[[#This Row],[WHRS KW RECOVERED PER DAY]]&lt;&gt;0,Table1[[#This Row],[WHRS RH]]&lt;&gt;0),ROUND(Table1[[#This Row],[WHRS KW RECOVERED PER DAY]]/Table1[[#This Row],[WHRS RH]],1))</f>
        <v>0</v>
      </c>
      <c r="Z823" s="8"/>
      <c r="AA823" s="1"/>
      <c r="AB823" s="1"/>
      <c r="AC823" s="1"/>
      <c r="AD823" s="1"/>
      <c r="AE823" s="1"/>
      <c r="AF823" s="1"/>
      <c r="AG823" s="1" t="str">
        <f t="shared" si="34"/>
        <v/>
      </c>
      <c r="AH823" s="1" t="str">
        <f t="shared" si="35"/>
        <v/>
      </c>
      <c r="AI823" s="1" t="str">
        <f>IF(AH823="", "", SUM($AH$4:AH823))</f>
        <v/>
      </c>
      <c r="AJ823" s="9"/>
    </row>
    <row r="824" spans="1:36">
      <c r="A824" s="7"/>
      <c r="X824" s="6" t="str">
        <f>IF(Table1[[#This Row],[WHRS NET KW TOTAL]]&lt;&gt;0,Table1[[#This Row],[WHRS NET KW TOTAL]]-U823,"")</f>
        <v/>
      </c>
      <c r="Y824" s="6" t="b">
        <f>IF(AND(Table1[[#This Row],[WHRS KW RECOVERED PER DAY]]&lt;&gt;0,Table1[[#This Row],[WHRS RH]]&lt;&gt;0),ROUND(Table1[[#This Row],[WHRS KW RECOVERED PER DAY]]/Table1[[#This Row],[WHRS RH]],1))</f>
        <v>0</v>
      </c>
      <c r="Z824" s="8"/>
      <c r="AA824" s="1"/>
      <c r="AB824" s="1"/>
      <c r="AC824" s="1"/>
      <c r="AD824" s="1"/>
      <c r="AE824" s="1"/>
      <c r="AF824" s="1"/>
      <c r="AG824" s="1" t="str">
        <f t="shared" si="34"/>
        <v/>
      </c>
      <c r="AH824" s="1" t="str">
        <f t="shared" si="35"/>
        <v/>
      </c>
      <c r="AI824" s="1" t="str">
        <f>IF(AH824="", "", SUM($AH$4:AH824))</f>
        <v/>
      </c>
      <c r="AJ824" s="9"/>
    </row>
    <row r="825" spans="1:36">
      <c r="A825" s="7"/>
      <c r="X825" s="6" t="str">
        <f>IF(Table1[[#This Row],[WHRS NET KW TOTAL]]&lt;&gt;0,Table1[[#This Row],[WHRS NET KW TOTAL]]-U824,"")</f>
        <v/>
      </c>
      <c r="Y825" s="6" t="b">
        <f>IF(AND(Table1[[#This Row],[WHRS KW RECOVERED PER DAY]]&lt;&gt;0,Table1[[#This Row],[WHRS RH]]&lt;&gt;0),ROUND(Table1[[#This Row],[WHRS KW RECOVERED PER DAY]]/Table1[[#This Row],[WHRS RH]],1))</f>
        <v>0</v>
      </c>
      <c r="Z825" s="8"/>
      <c r="AA825" s="1"/>
      <c r="AB825" s="1"/>
      <c r="AC825" s="1"/>
      <c r="AD825" s="1"/>
      <c r="AE825" s="1"/>
      <c r="AF825" s="1"/>
      <c r="AG825" s="1" t="str">
        <f t="shared" si="34"/>
        <v/>
      </c>
      <c r="AH825" s="1" t="str">
        <f t="shared" si="35"/>
        <v/>
      </c>
      <c r="AI825" s="1" t="str">
        <f>IF(AH825="", "", SUM($AH$4:AH825))</f>
        <v/>
      </c>
      <c r="AJ825" s="9"/>
    </row>
    <row r="826" spans="1:36">
      <c r="A826" s="7"/>
      <c r="X826" s="6" t="str">
        <f>IF(Table1[[#This Row],[WHRS NET KW TOTAL]]&lt;&gt;0,Table1[[#This Row],[WHRS NET KW TOTAL]]-U825,"")</f>
        <v/>
      </c>
      <c r="Y826" s="6" t="b">
        <f>IF(AND(Table1[[#This Row],[WHRS KW RECOVERED PER DAY]]&lt;&gt;0,Table1[[#This Row],[WHRS RH]]&lt;&gt;0),ROUND(Table1[[#This Row],[WHRS KW RECOVERED PER DAY]]/Table1[[#This Row],[WHRS RH]],1))</f>
        <v>0</v>
      </c>
      <c r="Z826" s="8"/>
      <c r="AA826" s="1"/>
      <c r="AB826" s="1"/>
      <c r="AC826" s="1"/>
      <c r="AD826" s="1"/>
      <c r="AE826" s="1"/>
      <c r="AF826" s="1"/>
      <c r="AG826" s="1" t="str">
        <f t="shared" si="34"/>
        <v/>
      </c>
      <c r="AH826" s="1" t="str">
        <f t="shared" si="35"/>
        <v/>
      </c>
      <c r="AI826" s="1" t="str">
        <f>IF(AH826="", "", SUM($AH$4:AH826))</f>
        <v/>
      </c>
      <c r="AJ826" s="9"/>
    </row>
    <row r="827" spans="1:36">
      <c r="A827" s="7"/>
      <c r="X827" s="6" t="str">
        <f>IF(Table1[[#This Row],[WHRS NET KW TOTAL]]&lt;&gt;0,Table1[[#This Row],[WHRS NET KW TOTAL]]-U826,"")</f>
        <v/>
      </c>
      <c r="Y827" s="6" t="b">
        <f>IF(AND(Table1[[#This Row],[WHRS KW RECOVERED PER DAY]]&lt;&gt;0,Table1[[#This Row],[WHRS RH]]&lt;&gt;0),ROUND(Table1[[#This Row],[WHRS KW RECOVERED PER DAY]]/Table1[[#This Row],[WHRS RH]],1))</f>
        <v>0</v>
      </c>
      <c r="Z827" s="8"/>
      <c r="AA827" s="1"/>
      <c r="AB827" s="1"/>
      <c r="AC827" s="1"/>
      <c r="AD827" s="1"/>
      <c r="AE827" s="1"/>
      <c r="AF827" s="1"/>
      <c r="AG827" s="1" t="str">
        <f t="shared" si="34"/>
        <v/>
      </c>
      <c r="AH827" s="1" t="str">
        <f t="shared" si="35"/>
        <v/>
      </c>
      <c r="AI827" s="1" t="str">
        <f>IF(AH827="", "", SUM($AH$4:AH827))</f>
        <v/>
      </c>
      <c r="AJ827" s="9"/>
    </row>
    <row r="828" spans="1:36">
      <c r="A828" s="7"/>
      <c r="X828" s="6" t="str">
        <f>IF(Table1[[#This Row],[WHRS NET KW TOTAL]]&lt;&gt;0,Table1[[#This Row],[WHRS NET KW TOTAL]]-U827,"")</f>
        <v/>
      </c>
      <c r="Y828" s="6" t="b">
        <f>IF(AND(Table1[[#This Row],[WHRS KW RECOVERED PER DAY]]&lt;&gt;0,Table1[[#This Row],[WHRS RH]]&lt;&gt;0),ROUND(Table1[[#This Row],[WHRS KW RECOVERED PER DAY]]/Table1[[#This Row],[WHRS RH]],1))</f>
        <v>0</v>
      </c>
      <c r="Z828" s="8"/>
      <c r="AA828" s="1"/>
      <c r="AB828" s="1"/>
      <c r="AC828" s="1"/>
      <c r="AD828" s="1"/>
      <c r="AE828" s="1"/>
      <c r="AF828" s="1"/>
      <c r="AG828" s="1" t="str">
        <f t="shared" si="34"/>
        <v/>
      </c>
      <c r="AH828" s="1" t="str">
        <f t="shared" si="35"/>
        <v/>
      </c>
      <c r="AI828" s="1" t="str">
        <f>IF(AH828="", "", SUM($AH$4:AH828))</f>
        <v/>
      </c>
      <c r="AJ828" s="9"/>
    </row>
    <row r="829" spans="1:36">
      <c r="A829" s="7"/>
      <c r="X829" s="6" t="str">
        <f>IF(Table1[[#This Row],[WHRS NET KW TOTAL]]&lt;&gt;0,Table1[[#This Row],[WHRS NET KW TOTAL]]-U828,"")</f>
        <v/>
      </c>
      <c r="Y829" s="6" t="b">
        <f>IF(AND(Table1[[#This Row],[WHRS KW RECOVERED PER DAY]]&lt;&gt;0,Table1[[#This Row],[WHRS RH]]&lt;&gt;0),ROUND(Table1[[#This Row],[WHRS KW RECOVERED PER DAY]]/Table1[[#This Row],[WHRS RH]],1))</f>
        <v>0</v>
      </c>
      <c r="Z829" s="8"/>
      <c r="AA829" s="1"/>
      <c r="AB829" s="1"/>
      <c r="AC829" s="1"/>
      <c r="AD829" s="1"/>
      <c r="AE829" s="1"/>
      <c r="AF829" s="1"/>
      <c r="AG829" s="1" t="str">
        <f t="shared" si="34"/>
        <v/>
      </c>
      <c r="AH829" s="1" t="str">
        <f t="shared" si="35"/>
        <v/>
      </c>
      <c r="AI829" s="1" t="str">
        <f>IF(AH829="", "", SUM($AH$4:AH829))</f>
        <v/>
      </c>
      <c r="AJ829" s="9"/>
    </row>
    <row r="830" spans="1:36">
      <c r="A830" s="7"/>
      <c r="X830" s="6" t="str">
        <f>IF(Table1[[#This Row],[WHRS NET KW TOTAL]]&lt;&gt;0,Table1[[#This Row],[WHRS NET KW TOTAL]]-U829,"")</f>
        <v/>
      </c>
      <c r="Y830" s="6" t="b">
        <f>IF(AND(Table1[[#This Row],[WHRS KW RECOVERED PER DAY]]&lt;&gt;0,Table1[[#This Row],[WHRS RH]]&lt;&gt;0),ROUND(Table1[[#This Row],[WHRS KW RECOVERED PER DAY]]/Table1[[#This Row],[WHRS RH]],1))</f>
        <v>0</v>
      </c>
      <c r="Z830" s="8"/>
      <c r="AA830" s="1"/>
      <c r="AB830" s="1"/>
      <c r="AC830" s="1"/>
      <c r="AD830" s="1"/>
      <c r="AE830" s="1"/>
      <c r="AF830" s="1"/>
      <c r="AG830" s="1" t="str">
        <f t="shared" si="34"/>
        <v/>
      </c>
      <c r="AH830" s="1" t="str">
        <f t="shared" si="35"/>
        <v/>
      </c>
      <c r="AI830" s="1" t="str">
        <f>IF(AH830="", "", SUM($AH$4:AH830))</f>
        <v/>
      </c>
      <c r="AJ830" s="9"/>
    </row>
    <row r="831" spans="1:36">
      <c r="A831" s="7"/>
      <c r="X831" s="6" t="str">
        <f>IF(Table1[[#This Row],[WHRS NET KW TOTAL]]&lt;&gt;0,Table1[[#This Row],[WHRS NET KW TOTAL]]-U830,"")</f>
        <v/>
      </c>
      <c r="Y831" s="6" t="b">
        <f>IF(AND(Table1[[#This Row],[WHRS KW RECOVERED PER DAY]]&lt;&gt;0,Table1[[#This Row],[WHRS RH]]&lt;&gt;0),ROUND(Table1[[#This Row],[WHRS KW RECOVERED PER DAY]]/Table1[[#This Row],[WHRS RH]],1))</f>
        <v>0</v>
      </c>
      <c r="Z831" s="8"/>
      <c r="AA831" s="1"/>
      <c r="AB831" s="1"/>
      <c r="AC831" s="1"/>
      <c r="AD831" s="1"/>
      <c r="AE831" s="1"/>
      <c r="AF831" s="1"/>
      <c r="AG831" s="1" t="str">
        <f t="shared" si="34"/>
        <v/>
      </c>
      <c r="AH831" s="1" t="str">
        <f t="shared" si="35"/>
        <v/>
      </c>
      <c r="AI831" s="1" t="str">
        <f>IF(AH831="", "", SUM($AH$4:AH831))</f>
        <v/>
      </c>
      <c r="AJ831" s="9"/>
    </row>
    <row r="832" spans="1:36">
      <c r="A832" s="7"/>
      <c r="X832" s="6" t="str">
        <f>IF(Table1[[#This Row],[WHRS NET KW TOTAL]]&lt;&gt;0,Table1[[#This Row],[WHRS NET KW TOTAL]]-U831,"")</f>
        <v/>
      </c>
      <c r="Y832" s="6" t="b">
        <f>IF(AND(Table1[[#This Row],[WHRS KW RECOVERED PER DAY]]&lt;&gt;0,Table1[[#This Row],[WHRS RH]]&lt;&gt;0),ROUND(Table1[[#This Row],[WHRS KW RECOVERED PER DAY]]/Table1[[#This Row],[WHRS RH]],1))</f>
        <v>0</v>
      </c>
      <c r="Z832" s="8"/>
      <c r="AA832" s="1"/>
      <c r="AB832" s="1"/>
      <c r="AC832" s="1"/>
      <c r="AD832" s="1"/>
      <c r="AE832" s="1"/>
      <c r="AF832" s="1"/>
      <c r="AG832" s="1" t="str">
        <f t="shared" si="34"/>
        <v/>
      </c>
      <c r="AH832" s="1" t="str">
        <f t="shared" si="35"/>
        <v/>
      </c>
      <c r="AI832" s="1" t="str">
        <f>IF(AH832="", "", SUM($AH$4:AH832))</f>
        <v/>
      </c>
      <c r="AJ832" s="9"/>
    </row>
    <row r="833" spans="1:36">
      <c r="A833" s="7"/>
      <c r="X833" s="6" t="str">
        <f>IF(Table1[[#This Row],[WHRS NET KW TOTAL]]&lt;&gt;0,Table1[[#This Row],[WHRS NET KW TOTAL]]-U832,"")</f>
        <v/>
      </c>
      <c r="Y833" s="6" t="b">
        <f>IF(AND(Table1[[#This Row],[WHRS KW RECOVERED PER DAY]]&lt;&gt;0,Table1[[#This Row],[WHRS RH]]&lt;&gt;0),ROUND(Table1[[#This Row],[WHRS KW RECOVERED PER DAY]]/Table1[[#This Row],[WHRS RH]],1))</f>
        <v>0</v>
      </c>
      <c r="Z833" s="8"/>
      <c r="AA833" s="1"/>
      <c r="AB833" s="1"/>
      <c r="AC833" s="1"/>
      <c r="AD833" s="1"/>
      <c r="AE833" s="1"/>
      <c r="AF833" s="1"/>
      <c r="AG833" s="1" t="str">
        <f t="shared" si="34"/>
        <v/>
      </c>
      <c r="AH833" s="1" t="str">
        <f t="shared" si="35"/>
        <v/>
      </c>
      <c r="AI833" s="1" t="str">
        <f>IF(AH833="", "", SUM($AH$4:AH833))</f>
        <v/>
      </c>
      <c r="AJ833" s="9"/>
    </row>
    <row r="834" spans="1:36">
      <c r="A834" s="7"/>
      <c r="X834" s="6" t="str">
        <f>IF(Table1[[#This Row],[WHRS NET KW TOTAL]]&lt;&gt;0,Table1[[#This Row],[WHRS NET KW TOTAL]]-U833,"")</f>
        <v/>
      </c>
      <c r="Y834" s="6" t="b">
        <f>IF(AND(Table1[[#This Row],[WHRS KW RECOVERED PER DAY]]&lt;&gt;0,Table1[[#This Row],[WHRS RH]]&lt;&gt;0),ROUND(Table1[[#This Row],[WHRS KW RECOVERED PER DAY]]/Table1[[#This Row],[WHRS RH]],1))</f>
        <v>0</v>
      </c>
      <c r="Z834" s="8"/>
      <c r="AA834" s="1"/>
      <c r="AB834" s="1"/>
      <c r="AC834" s="1"/>
      <c r="AD834" s="1"/>
      <c r="AE834" s="1"/>
      <c r="AF834" s="1"/>
      <c r="AG834" s="1" t="str">
        <f t="shared" si="34"/>
        <v/>
      </c>
      <c r="AH834" s="1" t="str">
        <f t="shared" si="35"/>
        <v/>
      </c>
      <c r="AI834" s="1" t="str">
        <f>IF(AH834="", "", SUM($AH$4:AH834))</f>
        <v/>
      </c>
      <c r="AJ834" s="9"/>
    </row>
    <row r="835" spans="1:36">
      <c r="A835" s="7"/>
      <c r="X835" s="6" t="str">
        <f>IF(Table1[[#This Row],[WHRS NET KW TOTAL]]&lt;&gt;0,Table1[[#This Row],[WHRS NET KW TOTAL]]-U834,"")</f>
        <v/>
      </c>
      <c r="Y835" s="6" t="b">
        <f>IF(AND(Table1[[#This Row],[WHRS KW RECOVERED PER DAY]]&lt;&gt;0,Table1[[#This Row],[WHRS RH]]&lt;&gt;0),ROUND(Table1[[#This Row],[WHRS KW RECOVERED PER DAY]]/Table1[[#This Row],[WHRS RH]],1))</f>
        <v>0</v>
      </c>
      <c r="Z835" s="8"/>
      <c r="AA835" s="1"/>
      <c r="AB835" s="1"/>
      <c r="AC835" s="1"/>
      <c r="AD835" s="1"/>
      <c r="AE835" s="1"/>
      <c r="AF835" s="1"/>
      <c r="AG835" s="1" t="str">
        <f t="shared" si="34"/>
        <v/>
      </c>
      <c r="AH835" s="1" t="str">
        <f t="shared" si="35"/>
        <v/>
      </c>
      <c r="AI835" s="1" t="str">
        <f>IF(AH835="", "", SUM($AH$4:AH835))</f>
        <v/>
      </c>
      <c r="AJ835" s="9"/>
    </row>
    <row r="836" spans="1:36">
      <c r="A836" s="7"/>
      <c r="X836" s="6" t="str">
        <f>IF(Table1[[#This Row],[WHRS NET KW TOTAL]]&lt;&gt;0,Table1[[#This Row],[WHRS NET KW TOTAL]]-U835,"")</f>
        <v/>
      </c>
      <c r="Y836" s="6" t="b">
        <f>IF(AND(Table1[[#This Row],[WHRS KW RECOVERED PER DAY]]&lt;&gt;0,Table1[[#This Row],[WHRS RH]]&lt;&gt;0),ROUND(Table1[[#This Row],[WHRS KW RECOVERED PER DAY]]/Table1[[#This Row],[WHRS RH]],1))</f>
        <v>0</v>
      </c>
      <c r="Z836" s="8"/>
      <c r="AA836" s="1"/>
      <c r="AB836" s="1"/>
      <c r="AC836" s="1"/>
      <c r="AD836" s="1"/>
      <c r="AE836" s="1"/>
      <c r="AF836" s="1"/>
      <c r="AG836" s="1" t="str">
        <f t="shared" si="34"/>
        <v/>
      </c>
      <c r="AH836" s="1" t="str">
        <f t="shared" si="35"/>
        <v/>
      </c>
      <c r="AI836" s="1" t="str">
        <f>IF(AH836="", "", SUM($AH$4:AH836))</f>
        <v/>
      </c>
      <c r="AJ836" s="9"/>
    </row>
    <row r="837" spans="1:36">
      <c r="A837" s="7"/>
      <c r="X837" s="6" t="str">
        <f>IF(Table1[[#This Row],[WHRS NET KW TOTAL]]&lt;&gt;0,Table1[[#This Row],[WHRS NET KW TOTAL]]-U836,"")</f>
        <v/>
      </c>
      <c r="Y837" s="6" t="b">
        <f>IF(AND(Table1[[#This Row],[WHRS KW RECOVERED PER DAY]]&lt;&gt;0,Table1[[#This Row],[WHRS RH]]&lt;&gt;0),ROUND(Table1[[#This Row],[WHRS KW RECOVERED PER DAY]]/Table1[[#This Row],[WHRS RH]],1))</f>
        <v>0</v>
      </c>
      <c r="Z837" s="8"/>
      <c r="AA837" s="1"/>
      <c r="AB837" s="1"/>
      <c r="AC837" s="1"/>
      <c r="AD837" s="1"/>
      <c r="AE837" s="1"/>
      <c r="AF837" s="1"/>
      <c r="AG837" s="1" t="str">
        <f t="shared" ref="AG837:AG900" si="36">IF(C837="", "", _xlfn.IFS(C837="LNG", 1345, C837="LSMGO", 1280, C837="VLSFO", 820, C837="HSFO", 635, TRUE, ""))</f>
        <v/>
      </c>
      <c r="AH837" s="1" t="str">
        <f t="shared" ref="AH837:AH894" si="37">IF(OR(W837="", AF837="", AG837=""), "", W837 * (AF837 / 1000000) * AG837)</f>
        <v/>
      </c>
      <c r="AI837" s="1" t="str">
        <f>IF(AH837="", "", SUM($AH$4:AH837))</f>
        <v/>
      </c>
      <c r="AJ837" s="9"/>
    </row>
    <row r="838" spans="1:36">
      <c r="A838" s="7"/>
      <c r="X838" s="6" t="str">
        <f>IF(Table1[[#This Row],[WHRS NET KW TOTAL]]&lt;&gt;0,Table1[[#This Row],[WHRS NET KW TOTAL]]-U837,"")</f>
        <v/>
      </c>
      <c r="Y838" s="6" t="b">
        <f>IF(AND(Table1[[#This Row],[WHRS KW RECOVERED PER DAY]]&lt;&gt;0,Table1[[#This Row],[WHRS RH]]&lt;&gt;0),ROUND(Table1[[#This Row],[WHRS KW RECOVERED PER DAY]]/Table1[[#This Row],[WHRS RH]],1))</f>
        <v>0</v>
      </c>
      <c r="Z838" s="8"/>
      <c r="AA838" s="1"/>
      <c r="AB838" s="1"/>
      <c r="AC838" s="1"/>
      <c r="AD838" s="1"/>
      <c r="AE838" s="1"/>
      <c r="AF838" s="1"/>
      <c r="AG838" s="1" t="str">
        <f t="shared" si="36"/>
        <v/>
      </c>
      <c r="AH838" s="1" t="str">
        <f t="shared" si="37"/>
        <v/>
      </c>
      <c r="AI838" s="1" t="str">
        <f>IF(AH838="", "", SUM($AH$4:AH838))</f>
        <v/>
      </c>
      <c r="AJ838" s="9"/>
    </row>
    <row r="839" spans="1:36">
      <c r="A839" s="7"/>
      <c r="X839" s="6" t="str">
        <f>IF(Table1[[#This Row],[WHRS NET KW TOTAL]]&lt;&gt;0,Table1[[#This Row],[WHRS NET KW TOTAL]]-U838,"")</f>
        <v/>
      </c>
      <c r="Y839" s="6" t="b">
        <f>IF(AND(Table1[[#This Row],[WHRS KW RECOVERED PER DAY]]&lt;&gt;0,Table1[[#This Row],[WHRS RH]]&lt;&gt;0),ROUND(Table1[[#This Row],[WHRS KW RECOVERED PER DAY]]/Table1[[#This Row],[WHRS RH]],1))</f>
        <v>0</v>
      </c>
      <c r="Z839" s="8"/>
      <c r="AA839" s="1"/>
      <c r="AB839" s="1"/>
      <c r="AC839" s="1"/>
      <c r="AD839" s="1"/>
      <c r="AE839" s="1"/>
      <c r="AF839" s="1"/>
      <c r="AG839" s="1" t="str">
        <f t="shared" si="36"/>
        <v/>
      </c>
      <c r="AH839" s="1" t="str">
        <f t="shared" si="37"/>
        <v/>
      </c>
      <c r="AI839" s="1" t="str">
        <f>IF(AH839="", "", SUM($AH$4:AH839))</f>
        <v/>
      </c>
      <c r="AJ839" s="9"/>
    </row>
    <row r="840" spans="1:36">
      <c r="A840" s="7"/>
      <c r="X840" s="6" t="str">
        <f>IF(Table1[[#This Row],[WHRS NET KW TOTAL]]&lt;&gt;0,Table1[[#This Row],[WHRS NET KW TOTAL]]-U839,"")</f>
        <v/>
      </c>
      <c r="Y840" s="6" t="b">
        <f>IF(AND(Table1[[#This Row],[WHRS KW RECOVERED PER DAY]]&lt;&gt;0,Table1[[#This Row],[WHRS RH]]&lt;&gt;0),ROUND(Table1[[#This Row],[WHRS KW RECOVERED PER DAY]]/Table1[[#This Row],[WHRS RH]],1))</f>
        <v>0</v>
      </c>
      <c r="Z840" s="8"/>
      <c r="AA840" s="1"/>
      <c r="AB840" s="1"/>
      <c r="AC840" s="1"/>
      <c r="AD840" s="1"/>
      <c r="AE840" s="1"/>
      <c r="AF840" s="1"/>
      <c r="AG840" s="1" t="str">
        <f t="shared" si="36"/>
        <v/>
      </c>
      <c r="AH840" s="1" t="str">
        <f t="shared" si="37"/>
        <v/>
      </c>
      <c r="AI840" s="1" t="str">
        <f>IF(AH840="", "", SUM($AH$4:AH840))</f>
        <v/>
      </c>
      <c r="AJ840" s="9"/>
    </row>
    <row r="841" spans="1:36">
      <c r="A841" s="7"/>
      <c r="X841" s="6" t="str">
        <f>IF(Table1[[#This Row],[WHRS NET KW TOTAL]]&lt;&gt;0,Table1[[#This Row],[WHRS NET KW TOTAL]]-U840,"")</f>
        <v/>
      </c>
      <c r="Y841" s="6" t="b">
        <f>IF(AND(Table1[[#This Row],[WHRS KW RECOVERED PER DAY]]&lt;&gt;0,Table1[[#This Row],[WHRS RH]]&lt;&gt;0),ROUND(Table1[[#This Row],[WHRS KW RECOVERED PER DAY]]/Table1[[#This Row],[WHRS RH]],1))</f>
        <v>0</v>
      </c>
      <c r="Z841" s="8"/>
      <c r="AA841" s="1"/>
      <c r="AB841" s="1"/>
      <c r="AC841" s="1"/>
      <c r="AD841" s="1"/>
      <c r="AE841" s="1"/>
      <c r="AF841" s="1"/>
      <c r="AG841" s="1" t="str">
        <f t="shared" si="36"/>
        <v/>
      </c>
      <c r="AH841" s="1" t="str">
        <f t="shared" si="37"/>
        <v/>
      </c>
      <c r="AI841" s="1" t="str">
        <f>IF(AH841="", "", SUM($AH$4:AH841))</f>
        <v/>
      </c>
      <c r="AJ841" s="9"/>
    </row>
    <row r="842" spans="1:36">
      <c r="A842" s="7"/>
      <c r="X842" s="6" t="str">
        <f>IF(Table1[[#This Row],[WHRS NET KW TOTAL]]&lt;&gt;0,Table1[[#This Row],[WHRS NET KW TOTAL]]-U841,"")</f>
        <v/>
      </c>
      <c r="Y842" s="6" t="b">
        <f>IF(AND(Table1[[#This Row],[WHRS KW RECOVERED PER DAY]]&lt;&gt;0,Table1[[#This Row],[WHRS RH]]&lt;&gt;0),ROUND(Table1[[#This Row],[WHRS KW RECOVERED PER DAY]]/Table1[[#This Row],[WHRS RH]],1))</f>
        <v>0</v>
      </c>
      <c r="Z842" s="8"/>
      <c r="AA842" s="1"/>
      <c r="AB842" s="1"/>
      <c r="AC842" s="1"/>
      <c r="AD842" s="1"/>
      <c r="AE842" s="1"/>
      <c r="AF842" s="1"/>
      <c r="AG842" s="1" t="str">
        <f t="shared" si="36"/>
        <v/>
      </c>
      <c r="AH842" s="1" t="str">
        <f t="shared" si="37"/>
        <v/>
      </c>
      <c r="AI842" s="1" t="str">
        <f>IF(AH842="", "", SUM($AH$4:AH842))</f>
        <v/>
      </c>
      <c r="AJ842" s="9"/>
    </row>
    <row r="843" spans="1:36">
      <c r="A843" s="7"/>
      <c r="X843" s="6" t="str">
        <f>IF(Table1[[#This Row],[WHRS NET KW TOTAL]]&lt;&gt;0,Table1[[#This Row],[WHRS NET KW TOTAL]]-U842,"")</f>
        <v/>
      </c>
      <c r="Y843" s="6" t="b">
        <f>IF(AND(Table1[[#This Row],[WHRS KW RECOVERED PER DAY]]&lt;&gt;0,Table1[[#This Row],[WHRS RH]]&lt;&gt;0),ROUND(Table1[[#This Row],[WHRS KW RECOVERED PER DAY]]/Table1[[#This Row],[WHRS RH]],1))</f>
        <v>0</v>
      </c>
      <c r="Z843" s="8"/>
      <c r="AA843" s="1"/>
      <c r="AB843" s="1"/>
      <c r="AC843" s="1"/>
      <c r="AD843" s="1"/>
      <c r="AE843" s="1"/>
      <c r="AF843" s="1"/>
      <c r="AG843" s="1" t="str">
        <f t="shared" si="36"/>
        <v/>
      </c>
      <c r="AH843" s="1" t="str">
        <f t="shared" si="37"/>
        <v/>
      </c>
      <c r="AI843" s="1" t="str">
        <f>IF(AH843="", "", SUM($AH$4:AH843))</f>
        <v/>
      </c>
      <c r="AJ843" s="9"/>
    </row>
    <row r="844" spans="1:36">
      <c r="A844" s="7"/>
      <c r="X844" s="6" t="str">
        <f>IF(Table1[[#This Row],[WHRS NET KW TOTAL]]&lt;&gt;0,Table1[[#This Row],[WHRS NET KW TOTAL]]-U843,"")</f>
        <v/>
      </c>
      <c r="Y844" s="6" t="b">
        <f>IF(AND(Table1[[#This Row],[WHRS KW RECOVERED PER DAY]]&lt;&gt;0,Table1[[#This Row],[WHRS RH]]&lt;&gt;0),ROUND(Table1[[#This Row],[WHRS KW RECOVERED PER DAY]]/Table1[[#This Row],[WHRS RH]],1))</f>
        <v>0</v>
      </c>
      <c r="Z844" s="8"/>
      <c r="AA844" s="1"/>
      <c r="AB844" s="1"/>
      <c r="AC844" s="1"/>
      <c r="AD844" s="1"/>
      <c r="AE844" s="1"/>
      <c r="AF844" s="1"/>
      <c r="AG844" s="1" t="str">
        <f t="shared" si="36"/>
        <v/>
      </c>
      <c r="AH844" s="1" t="str">
        <f t="shared" si="37"/>
        <v/>
      </c>
      <c r="AI844" s="1" t="str">
        <f>IF(AH844="", "", SUM($AH$4:AH844))</f>
        <v/>
      </c>
      <c r="AJ844" s="9"/>
    </row>
    <row r="845" spans="1:36">
      <c r="A845" s="7"/>
      <c r="X845" s="6" t="str">
        <f>IF(Table1[[#This Row],[WHRS NET KW TOTAL]]&lt;&gt;0,Table1[[#This Row],[WHRS NET KW TOTAL]]-U844,"")</f>
        <v/>
      </c>
      <c r="Y845" s="6" t="b">
        <f>IF(AND(Table1[[#This Row],[WHRS KW RECOVERED PER DAY]]&lt;&gt;0,Table1[[#This Row],[WHRS RH]]&lt;&gt;0),ROUND(Table1[[#This Row],[WHRS KW RECOVERED PER DAY]]/Table1[[#This Row],[WHRS RH]],1))</f>
        <v>0</v>
      </c>
      <c r="Z845" s="8"/>
      <c r="AA845" s="1"/>
      <c r="AB845" s="1"/>
      <c r="AC845" s="1"/>
      <c r="AD845" s="1"/>
      <c r="AE845" s="1"/>
      <c r="AF845" s="1"/>
      <c r="AG845" s="1" t="str">
        <f t="shared" si="36"/>
        <v/>
      </c>
      <c r="AH845" s="1" t="str">
        <f t="shared" si="37"/>
        <v/>
      </c>
      <c r="AI845" s="1" t="str">
        <f>IF(AH845="", "", SUM($AH$4:AH845))</f>
        <v/>
      </c>
      <c r="AJ845" s="9"/>
    </row>
    <row r="846" spans="1:36">
      <c r="A846" s="7"/>
      <c r="X846" s="6" t="str">
        <f>IF(Table1[[#This Row],[WHRS NET KW TOTAL]]&lt;&gt;0,Table1[[#This Row],[WHRS NET KW TOTAL]]-U845,"")</f>
        <v/>
      </c>
      <c r="Y846" s="6" t="b">
        <f>IF(AND(Table1[[#This Row],[WHRS KW RECOVERED PER DAY]]&lt;&gt;0,Table1[[#This Row],[WHRS RH]]&lt;&gt;0),ROUND(Table1[[#This Row],[WHRS KW RECOVERED PER DAY]]/Table1[[#This Row],[WHRS RH]],1))</f>
        <v>0</v>
      </c>
      <c r="Z846" s="8"/>
      <c r="AA846" s="1"/>
      <c r="AB846" s="1"/>
      <c r="AC846" s="1"/>
      <c r="AD846" s="1"/>
      <c r="AE846" s="1"/>
      <c r="AF846" s="1"/>
      <c r="AG846" s="1" t="str">
        <f t="shared" si="36"/>
        <v/>
      </c>
      <c r="AH846" s="1" t="str">
        <f t="shared" si="37"/>
        <v/>
      </c>
      <c r="AI846" s="1" t="str">
        <f>IF(AH846="", "", SUM($AH$4:AH846))</f>
        <v/>
      </c>
      <c r="AJ846" s="9"/>
    </row>
    <row r="847" spans="1:36">
      <c r="A847" s="7"/>
      <c r="X847" s="6" t="str">
        <f>IF(Table1[[#This Row],[WHRS NET KW TOTAL]]&lt;&gt;0,Table1[[#This Row],[WHRS NET KW TOTAL]]-U846,"")</f>
        <v/>
      </c>
      <c r="Y847" s="6" t="b">
        <f>IF(AND(Table1[[#This Row],[WHRS KW RECOVERED PER DAY]]&lt;&gt;0,Table1[[#This Row],[WHRS RH]]&lt;&gt;0),ROUND(Table1[[#This Row],[WHRS KW RECOVERED PER DAY]]/Table1[[#This Row],[WHRS RH]],1))</f>
        <v>0</v>
      </c>
      <c r="Z847" s="8"/>
      <c r="AA847" s="1"/>
      <c r="AB847" s="1"/>
      <c r="AC847" s="1"/>
      <c r="AD847" s="1"/>
      <c r="AE847" s="1"/>
      <c r="AF847" s="1"/>
      <c r="AG847" s="1" t="str">
        <f t="shared" si="36"/>
        <v/>
      </c>
      <c r="AH847" s="1" t="str">
        <f t="shared" si="37"/>
        <v/>
      </c>
      <c r="AI847" s="1" t="str">
        <f>IF(AH847="", "", SUM($AH$4:AH847))</f>
        <v/>
      </c>
      <c r="AJ847" s="9"/>
    </row>
    <row r="848" spans="1:36">
      <c r="A848" s="7"/>
      <c r="X848" s="6" t="str">
        <f>IF(Table1[[#This Row],[WHRS NET KW TOTAL]]&lt;&gt;0,Table1[[#This Row],[WHRS NET KW TOTAL]]-U847,"")</f>
        <v/>
      </c>
      <c r="Y848" s="6" t="b">
        <f>IF(AND(Table1[[#This Row],[WHRS KW RECOVERED PER DAY]]&lt;&gt;0,Table1[[#This Row],[WHRS RH]]&lt;&gt;0),ROUND(Table1[[#This Row],[WHRS KW RECOVERED PER DAY]]/Table1[[#This Row],[WHRS RH]],1))</f>
        <v>0</v>
      </c>
      <c r="Z848" s="8"/>
      <c r="AA848" s="1"/>
      <c r="AB848" s="1"/>
      <c r="AC848" s="1"/>
      <c r="AD848" s="1"/>
      <c r="AE848" s="1"/>
      <c r="AF848" s="1"/>
      <c r="AG848" s="1" t="str">
        <f t="shared" si="36"/>
        <v/>
      </c>
      <c r="AH848" s="1" t="str">
        <f t="shared" si="37"/>
        <v/>
      </c>
      <c r="AI848" s="1" t="str">
        <f>IF(AH848="", "", SUM($AH$4:AH848))</f>
        <v/>
      </c>
      <c r="AJ848" s="9"/>
    </row>
    <row r="849" spans="1:36">
      <c r="A849" s="7"/>
      <c r="X849" s="6" t="str">
        <f>IF(Table1[[#This Row],[WHRS NET KW TOTAL]]&lt;&gt;0,Table1[[#This Row],[WHRS NET KW TOTAL]]-U848,"")</f>
        <v/>
      </c>
      <c r="Y849" s="6" t="b">
        <f>IF(AND(Table1[[#This Row],[WHRS KW RECOVERED PER DAY]]&lt;&gt;0,Table1[[#This Row],[WHRS RH]]&lt;&gt;0),ROUND(Table1[[#This Row],[WHRS KW RECOVERED PER DAY]]/Table1[[#This Row],[WHRS RH]],1))</f>
        <v>0</v>
      </c>
      <c r="Z849" s="8"/>
      <c r="AA849" s="1"/>
      <c r="AB849" s="1"/>
      <c r="AC849" s="1"/>
      <c r="AD849" s="1"/>
      <c r="AE849" s="1"/>
      <c r="AF849" s="1"/>
      <c r="AG849" s="1" t="str">
        <f t="shared" si="36"/>
        <v/>
      </c>
      <c r="AH849" s="1" t="str">
        <f t="shared" si="37"/>
        <v/>
      </c>
      <c r="AI849" s="1" t="str">
        <f>IF(AH849="", "", SUM($AH$4:AH849))</f>
        <v/>
      </c>
      <c r="AJ849" s="9"/>
    </row>
    <row r="850" spans="1:36">
      <c r="A850" s="7"/>
      <c r="X850" s="6" t="str">
        <f>IF(Table1[[#This Row],[WHRS NET KW TOTAL]]&lt;&gt;0,Table1[[#This Row],[WHRS NET KW TOTAL]]-U849,"")</f>
        <v/>
      </c>
      <c r="Y850" s="6" t="b">
        <f>IF(AND(Table1[[#This Row],[WHRS KW RECOVERED PER DAY]]&lt;&gt;0,Table1[[#This Row],[WHRS RH]]&lt;&gt;0),ROUND(Table1[[#This Row],[WHRS KW RECOVERED PER DAY]]/Table1[[#This Row],[WHRS RH]],1))</f>
        <v>0</v>
      </c>
      <c r="Z850" s="8"/>
      <c r="AA850" s="1"/>
      <c r="AB850" s="1"/>
      <c r="AC850" s="1"/>
      <c r="AD850" s="1"/>
      <c r="AE850" s="1"/>
      <c r="AF850" s="1"/>
      <c r="AG850" s="1" t="str">
        <f t="shared" si="36"/>
        <v/>
      </c>
      <c r="AH850" s="1" t="str">
        <f t="shared" si="37"/>
        <v/>
      </c>
      <c r="AI850" s="1" t="str">
        <f>IF(AH850="", "", SUM($AH$4:AH850))</f>
        <v/>
      </c>
      <c r="AJ850" s="9"/>
    </row>
    <row r="851" spans="1:36">
      <c r="A851" s="7"/>
      <c r="X851" s="6" t="str">
        <f>IF(Table1[[#This Row],[WHRS NET KW TOTAL]]&lt;&gt;0,Table1[[#This Row],[WHRS NET KW TOTAL]]-U850,"")</f>
        <v/>
      </c>
      <c r="Y851" s="6" t="b">
        <f>IF(AND(Table1[[#This Row],[WHRS KW RECOVERED PER DAY]]&lt;&gt;0,Table1[[#This Row],[WHRS RH]]&lt;&gt;0),ROUND(Table1[[#This Row],[WHRS KW RECOVERED PER DAY]]/Table1[[#This Row],[WHRS RH]],1))</f>
        <v>0</v>
      </c>
      <c r="Z851" s="8"/>
      <c r="AA851" s="1"/>
      <c r="AB851" s="1"/>
      <c r="AC851" s="1"/>
      <c r="AD851" s="1"/>
      <c r="AE851" s="1"/>
      <c r="AF851" s="1"/>
      <c r="AG851" s="1" t="str">
        <f t="shared" si="36"/>
        <v/>
      </c>
      <c r="AH851" s="1" t="str">
        <f t="shared" si="37"/>
        <v/>
      </c>
      <c r="AI851" s="1" t="str">
        <f>IF(AH851="", "", SUM($AH$4:AH851))</f>
        <v/>
      </c>
      <c r="AJ851" s="9"/>
    </row>
    <row r="852" spans="1:36">
      <c r="A852" s="7"/>
      <c r="X852" s="6" t="str">
        <f>IF(Table1[[#This Row],[WHRS NET KW TOTAL]]&lt;&gt;0,Table1[[#This Row],[WHRS NET KW TOTAL]]-U851,"")</f>
        <v/>
      </c>
      <c r="Y852" s="6" t="b">
        <f>IF(AND(Table1[[#This Row],[WHRS KW RECOVERED PER DAY]]&lt;&gt;0,Table1[[#This Row],[WHRS RH]]&lt;&gt;0),ROUND(Table1[[#This Row],[WHRS KW RECOVERED PER DAY]]/Table1[[#This Row],[WHRS RH]],1))</f>
        <v>0</v>
      </c>
      <c r="Z852" s="8"/>
      <c r="AA852" s="1"/>
      <c r="AB852" s="1"/>
      <c r="AC852" s="1"/>
      <c r="AD852" s="1"/>
      <c r="AE852" s="1"/>
      <c r="AF852" s="1"/>
      <c r="AG852" s="1" t="str">
        <f t="shared" si="36"/>
        <v/>
      </c>
      <c r="AH852" s="1" t="str">
        <f t="shared" si="37"/>
        <v/>
      </c>
      <c r="AI852" s="1" t="str">
        <f>IF(AH852="", "", SUM($AH$4:AH852))</f>
        <v/>
      </c>
      <c r="AJ852" s="9"/>
    </row>
    <row r="853" spans="1:36">
      <c r="A853" s="7"/>
      <c r="X853" s="6" t="str">
        <f>IF(Table1[[#This Row],[WHRS NET KW TOTAL]]&lt;&gt;0,Table1[[#This Row],[WHRS NET KW TOTAL]]-U852,"")</f>
        <v/>
      </c>
      <c r="Y853" s="6" t="b">
        <f>IF(AND(Table1[[#This Row],[WHRS KW RECOVERED PER DAY]]&lt;&gt;0,Table1[[#This Row],[WHRS RH]]&lt;&gt;0),ROUND(Table1[[#This Row],[WHRS KW RECOVERED PER DAY]]/Table1[[#This Row],[WHRS RH]],1))</f>
        <v>0</v>
      </c>
      <c r="Z853" s="8"/>
      <c r="AA853" s="1"/>
      <c r="AB853" s="1"/>
      <c r="AC853" s="1"/>
      <c r="AD853" s="1"/>
      <c r="AE853" s="1"/>
      <c r="AF853" s="1"/>
      <c r="AG853" s="1" t="str">
        <f t="shared" si="36"/>
        <v/>
      </c>
      <c r="AH853" s="1" t="str">
        <f t="shared" si="37"/>
        <v/>
      </c>
      <c r="AI853" s="1" t="str">
        <f>IF(AH853="", "", SUM($AH$4:AH853))</f>
        <v/>
      </c>
      <c r="AJ853" s="9"/>
    </row>
    <row r="854" spans="1:36">
      <c r="A854" s="7"/>
      <c r="X854" s="6" t="str">
        <f>IF(Table1[[#This Row],[WHRS NET KW TOTAL]]&lt;&gt;0,Table1[[#This Row],[WHRS NET KW TOTAL]]-U853,"")</f>
        <v/>
      </c>
      <c r="Y854" s="6" t="b">
        <f>IF(AND(Table1[[#This Row],[WHRS KW RECOVERED PER DAY]]&lt;&gt;0,Table1[[#This Row],[WHRS RH]]&lt;&gt;0),ROUND(Table1[[#This Row],[WHRS KW RECOVERED PER DAY]]/Table1[[#This Row],[WHRS RH]],1))</f>
        <v>0</v>
      </c>
      <c r="Z854" s="8"/>
      <c r="AA854" s="1"/>
      <c r="AB854" s="1"/>
      <c r="AC854" s="1"/>
      <c r="AD854" s="1"/>
      <c r="AE854" s="1"/>
      <c r="AF854" s="1"/>
      <c r="AG854" s="1" t="str">
        <f t="shared" si="36"/>
        <v/>
      </c>
      <c r="AH854" s="1" t="str">
        <f t="shared" si="37"/>
        <v/>
      </c>
      <c r="AI854" s="1" t="str">
        <f>IF(AH854="", "", SUM($AH$4:AH854))</f>
        <v/>
      </c>
      <c r="AJ854" s="9"/>
    </row>
    <row r="855" spans="1:36">
      <c r="A855" s="7"/>
      <c r="X855" s="6" t="str">
        <f>IF(Table1[[#This Row],[WHRS NET KW TOTAL]]&lt;&gt;0,Table1[[#This Row],[WHRS NET KW TOTAL]]-U854,"")</f>
        <v/>
      </c>
      <c r="Y855" s="6" t="b">
        <f>IF(AND(Table1[[#This Row],[WHRS KW RECOVERED PER DAY]]&lt;&gt;0,Table1[[#This Row],[WHRS RH]]&lt;&gt;0),ROUND(Table1[[#This Row],[WHRS KW RECOVERED PER DAY]]/Table1[[#This Row],[WHRS RH]],1))</f>
        <v>0</v>
      </c>
      <c r="Z855" s="8"/>
      <c r="AA855" s="1"/>
      <c r="AB855" s="1"/>
      <c r="AC855" s="1"/>
      <c r="AD855" s="1"/>
      <c r="AE855" s="1"/>
      <c r="AF855" s="1"/>
      <c r="AG855" s="1" t="str">
        <f t="shared" si="36"/>
        <v/>
      </c>
      <c r="AH855" s="1" t="str">
        <f t="shared" si="37"/>
        <v/>
      </c>
      <c r="AI855" s="1" t="str">
        <f>IF(AH855="", "", SUM($AH$4:AH855))</f>
        <v/>
      </c>
      <c r="AJ855" s="9"/>
    </row>
    <row r="856" spans="1:36">
      <c r="A856" s="7"/>
      <c r="X856" s="6" t="str">
        <f>IF(Table1[[#This Row],[WHRS NET KW TOTAL]]&lt;&gt;0,Table1[[#This Row],[WHRS NET KW TOTAL]]-U855,"")</f>
        <v/>
      </c>
      <c r="Y856" s="6" t="b">
        <f>IF(AND(Table1[[#This Row],[WHRS KW RECOVERED PER DAY]]&lt;&gt;0,Table1[[#This Row],[WHRS RH]]&lt;&gt;0),ROUND(Table1[[#This Row],[WHRS KW RECOVERED PER DAY]]/Table1[[#This Row],[WHRS RH]],1))</f>
        <v>0</v>
      </c>
      <c r="Z856" s="8"/>
      <c r="AA856" s="1"/>
      <c r="AB856" s="1"/>
      <c r="AC856" s="1"/>
      <c r="AD856" s="1"/>
      <c r="AE856" s="1"/>
      <c r="AF856" s="1"/>
      <c r="AG856" s="1" t="str">
        <f t="shared" si="36"/>
        <v/>
      </c>
      <c r="AH856" s="1" t="str">
        <f t="shared" si="37"/>
        <v/>
      </c>
      <c r="AI856" s="1" t="str">
        <f>IF(AH856="", "", SUM($AH$4:AH856))</f>
        <v/>
      </c>
      <c r="AJ856" s="9"/>
    </row>
    <row r="857" spans="1:36">
      <c r="A857" s="7"/>
      <c r="X857" s="6" t="str">
        <f>IF(Table1[[#This Row],[WHRS NET KW TOTAL]]&lt;&gt;0,Table1[[#This Row],[WHRS NET KW TOTAL]]-U856,"")</f>
        <v/>
      </c>
      <c r="Y857" s="6" t="b">
        <f>IF(AND(Table1[[#This Row],[WHRS KW RECOVERED PER DAY]]&lt;&gt;0,Table1[[#This Row],[WHRS RH]]&lt;&gt;0),ROUND(Table1[[#This Row],[WHRS KW RECOVERED PER DAY]]/Table1[[#This Row],[WHRS RH]],1))</f>
        <v>0</v>
      </c>
      <c r="Z857" s="8"/>
      <c r="AA857" s="1"/>
      <c r="AB857" s="1"/>
      <c r="AC857" s="1"/>
      <c r="AD857" s="1"/>
      <c r="AE857" s="1"/>
      <c r="AF857" s="1"/>
      <c r="AG857" s="1" t="str">
        <f t="shared" si="36"/>
        <v/>
      </c>
      <c r="AH857" s="1" t="str">
        <f t="shared" si="37"/>
        <v/>
      </c>
      <c r="AI857" s="1" t="str">
        <f>IF(AH857="", "", SUM($AH$4:AH857))</f>
        <v/>
      </c>
      <c r="AJ857" s="9"/>
    </row>
    <row r="858" spans="1:36">
      <c r="A858" s="7"/>
      <c r="X858" s="6" t="str">
        <f>IF(Table1[[#This Row],[WHRS NET KW TOTAL]]&lt;&gt;0,Table1[[#This Row],[WHRS NET KW TOTAL]]-U857,"")</f>
        <v/>
      </c>
      <c r="Y858" s="6" t="b">
        <f>IF(AND(Table1[[#This Row],[WHRS KW RECOVERED PER DAY]]&lt;&gt;0,Table1[[#This Row],[WHRS RH]]&lt;&gt;0),ROUND(Table1[[#This Row],[WHRS KW RECOVERED PER DAY]]/Table1[[#This Row],[WHRS RH]],1))</f>
        <v>0</v>
      </c>
      <c r="Z858" s="8"/>
      <c r="AA858" s="1"/>
      <c r="AB858" s="1"/>
      <c r="AC858" s="1"/>
      <c r="AD858" s="1"/>
      <c r="AE858" s="1"/>
      <c r="AF858" s="1"/>
      <c r="AG858" s="1" t="str">
        <f t="shared" si="36"/>
        <v/>
      </c>
      <c r="AH858" s="1" t="str">
        <f t="shared" si="37"/>
        <v/>
      </c>
      <c r="AI858" s="1" t="str">
        <f>IF(AH858="", "", SUM($AH$4:AH858))</f>
        <v/>
      </c>
      <c r="AJ858" s="9"/>
    </row>
    <row r="859" spans="1:36">
      <c r="A859" s="7"/>
      <c r="X859" s="6" t="str">
        <f>IF(Table1[[#This Row],[WHRS NET KW TOTAL]]&lt;&gt;0,Table1[[#This Row],[WHRS NET KW TOTAL]]-U858,"")</f>
        <v/>
      </c>
      <c r="Y859" s="6" t="b">
        <f>IF(AND(Table1[[#This Row],[WHRS KW RECOVERED PER DAY]]&lt;&gt;0,Table1[[#This Row],[WHRS RH]]&lt;&gt;0),ROUND(Table1[[#This Row],[WHRS KW RECOVERED PER DAY]]/Table1[[#This Row],[WHRS RH]],1))</f>
        <v>0</v>
      </c>
      <c r="Z859" s="8"/>
      <c r="AA859" s="1"/>
      <c r="AB859" s="1"/>
      <c r="AC859" s="1"/>
      <c r="AD859" s="1"/>
      <c r="AE859" s="1"/>
      <c r="AF859" s="1"/>
      <c r="AG859" s="1" t="str">
        <f t="shared" si="36"/>
        <v/>
      </c>
      <c r="AH859" s="1" t="str">
        <f t="shared" si="37"/>
        <v/>
      </c>
      <c r="AI859" s="1" t="str">
        <f>IF(AH859="", "", SUM($AH$4:AH859))</f>
        <v/>
      </c>
      <c r="AJ859" s="9"/>
    </row>
    <row r="860" spans="1:36">
      <c r="A860" s="7"/>
      <c r="X860" s="6" t="str">
        <f>IF(Table1[[#This Row],[WHRS NET KW TOTAL]]&lt;&gt;0,Table1[[#This Row],[WHRS NET KW TOTAL]]-U859,"")</f>
        <v/>
      </c>
      <c r="Y860" s="6" t="b">
        <f>IF(AND(Table1[[#This Row],[WHRS KW RECOVERED PER DAY]]&lt;&gt;0,Table1[[#This Row],[WHRS RH]]&lt;&gt;0),ROUND(Table1[[#This Row],[WHRS KW RECOVERED PER DAY]]/Table1[[#This Row],[WHRS RH]],1))</f>
        <v>0</v>
      </c>
      <c r="Z860" s="8"/>
      <c r="AA860" s="1"/>
      <c r="AB860" s="1"/>
      <c r="AC860" s="1"/>
      <c r="AD860" s="1"/>
      <c r="AE860" s="1"/>
      <c r="AF860" s="1"/>
      <c r="AG860" s="1" t="str">
        <f t="shared" si="36"/>
        <v/>
      </c>
      <c r="AH860" s="1" t="str">
        <f t="shared" si="37"/>
        <v/>
      </c>
      <c r="AI860" s="1" t="str">
        <f>IF(AH860="", "", SUM($AH$4:AH860))</f>
        <v/>
      </c>
      <c r="AJ860" s="9"/>
    </row>
    <row r="861" spans="1:36">
      <c r="A861" s="7"/>
      <c r="X861" s="6" t="str">
        <f>IF(Table1[[#This Row],[WHRS NET KW TOTAL]]&lt;&gt;0,Table1[[#This Row],[WHRS NET KW TOTAL]]-U860,"")</f>
        <v/>
      </c>
      <c r="Y861" s="6" t="b">
        <f>IF(AND(Table1[[#This Row],[WHRS KW RECOVERED PER DAY]]&lt;&gt;0,Table1[[#This Row],[WHRS RH]]&lt;&gt;0),ROUND(Table1[[#This Row],[WHRS KW RECOVERED PER DAY]]/Table1[[#This Row],[WHRS RH]],1))</f>
        <v>0</v>
      </c>
      <c r="Z861" s="8"/>
      <c r="AA861" s="1"/>
      <c r="AB861" s="1"/>
      <c r="AC861" s="1"/>
      <c r="AD861" s="1"/>
      <c r="AE861" s="1"/>
      <c r="AF861" s="1"/>
      <c r="AG861" s="1" t="str">
        <f t="shared" si="36"/>
        <v/>
      </c>
      <c r="AH861" s="1" t="str">
        <f t="shared" si="37"/>
        <v/>
      </c>
      <c r="AI861" s="1" t="str">
        <f>IF(AH861="", "", SUM($AH$4:AH861))</f>
        <v/>
      </c>
      <c r="AJ861" s="9"/>
    </row>
    <row r="862" spans="1:36">
      <c r="A862" s="7"/>
      <c r="X862" s="6" t="str">
        <f>IF(Table1[[#This Row],[WHRS NET KW TOTAL]]&lt;&gt;0,Table1[[#This Row],[WHRS NET KW TOTAL]]-U861,"")</f>
        <v/>
      </c>
      <c r="Y862" s="6" t="b">
        <f>IF(AND(Table1[[#This Row],[WHRS KW RECOVERED PER DAY]]&lt;&gt;0,Table1[[#This Row],[WHRS RH]]&lt;&gt;0),ROUND(Table1[[#This Row],[WHRS KW RECOVERED PER DAY]]/Table1[[#This Row],[WHRS RH]],1))</f>
        <v>0</v>
      </c>
      <c r="Z862" s="8"/>
      <c r="AA862" s="1"/>
      <c r="AB862" s="1"/>
      <c r="AC862" s="1"/>
      <c r="AD862" s="1"/>
      <c r="AE862" s="1"/>
      <c r="AF862" s="1"/>
      <c r="AG862" s="1" t="str">
        <f t="shared" si="36"/>
        <v/>
      </c>
      <c r="AH862" s="1" t="str">
        <f t="shared" si="37"/>
        <v/>
      </c>
      <c r="AI862" s="1" t="str">
        <f>IF(AH862="", "", SUM($AH$4:AH862))</f>
        <v/>
      </c>
      <c r="AJ862" s="9"/>
    </row>
    <row r="863" spans="1:36">
      <c r="A863" s="7"/>
      <c r="X863" s="6" t="str">
        <f>IF(Table1[[#This Row],[WHRS NET KW TOTAL]]&lt;&gt;0,Table1[[#This Row],[WHRS NET KW TOTAL]]-U862,"")</f>
        <v/>
      </c>
      <c r="Y863" s="6" t="b">
        <f>IF(AND(Table1[[#This Row],[WHRS KW RECOVERED PER DAY]]&lt;&gt;0,Table1[[#This Row],[WHRS RH]]&lt;&gt;0),ROUND(Table1[[#This Row],[WHRS KW RECOVERED PER DAY]]/Table1[[#This Row],[WHRS RH]],1))</f>
        <v>0</v>
      </c>
      <c r="Z863" s="8"/>
      <c r="AA863" s="1"/>
      <c r="AB863" s="1"/>
      <c r="AC863" s="1"/>
      <c r="AD863" s="1"/>
      <c r="AE863" s="1"/>
      <c r="AF863" s="1"/>
      <c r="AG863" s="1" t="str">
        <f t="shared" si="36"/>
        <v/>
      </c>
      <c r="AH863" s="1" t="str">
        <f t="shared" si="37"/>
        <v/>
      </c>
      <c r="AI863" s="1" t="str">
        <f>IF(AH863="", "", SUM($AH$4:AH863))</f>
        <v/>
      </c>
      <c r="AJ863" s="9"/>
    </row>
    <row r="864" spans="1:36">
      <c r="A864" s="7"/>
      <c r="X864" s="6" t="str">
        <f>IF(Table1[[#This Row],[WHRS NET KW TOTAL]]&lt;&gt;0,Table1[[#This Row],[WHRS NET KW TOTAL]]-U863,"")</f>
        <v/>
      </c>
      <c r="Y864" s="6" t="b">
        <f>IF(AND(Table1[[#This Row],[WHRS KW RECOVERED PER DAY]]&lt;&gt;0,Table1[[#This Row],[WHRS RH]]&lt;&gt;0),ROUND(Table1[[#This Row],[WHRS KW RECOVERED PER DAY]]/Table1[[#This Row],[WHRS RH]],1))</f>
        <v>0</v>
      </c>
      <c r="Z864" s="8"/>
      <c r="AA864" s="1"/>
      <c r="AB864" s="1"/>
      <c r="AC864" s="1"/>
      <c r="AD864" s="1"/>
      <c r="AE864" s="1"/>
      <c r="AF864" s="1"/>
      <c r="AG864" s="1" t="str">
        <f t="shared" si="36"/>
        <v/>
      </c>
      <c r="AH864" s="1" t="str">
        <f t="shared" si="37"/>
        <v/>
      </c>
      <c r="AI864" s="1" t="str">
        <f>IF(AH864="", "", SUM($AH$4:AH864))</f>
        <v/>
      </c>
      <c r="AJ864" s="9"/>
    </row>
    <row r="865" spans="1:36">
      <c r="A865" s="7"/>
      <c r="X865" s="6" t="str">
        <f>IF(Table1[[#This Row],[WHRS NET KW TOTAL]]&lt;&gt;0,Table1[[#This Row],[WHRS NET KW TOTAL]]-U864,"")</f>
        <v/>
      </c>
      <c r="Y865" s="6" t="b">
        <f>IF(AND(Table1[[#This Row],[WHRS KW RECOVERED PER DAY]]&lt;&gt;0,Table1[[#This Row],[WHRS RH]]&lt;&gt;0),ROUND(Table1[[#This Row],[WHRS KW RECOVERED PER DAY]]/Table1[[#This Row],[WHRS RH]],1))</f>
        <v>0</v>
      </c>
      <c r="Z865" s="8"/>
      <c r="AA865" s="1"/>
      <c r="AB865" s="1"/>
      <c r="AC865" s="1"/>
      <c r="AD865" s="1"/>
      <c r="AE865" s="1"/>
      <c r="AF865" s="1"/>
      <c r="AG865" s="1" t="str">
        <f t="shared" si="36"/>
        <v/>
      </c>
      <c r="AH865" s="1" t="str">
        <f t="shared" si="37"/>
        <v/>
      </c>
      <c r="AI865" s="1" t="str">
        <f>IF(AH865="", "", SUM($AH$4:AH865))</f>
        <v/>
      </c>
      <c r="AJ865" s="9"/>
    </row>
    <row r="866" spans="1:36">
      <c r="A866" s="7"/>
      <c r="X866" s="6" t="str">
        <f>IF(Table1[[#This Row],[WHRS NET KW TOTAL]]&lt;&gt;0,Table1[[#This Row],[WHRS NET KW TOTAL]]-U865,"")</f>
        <v/>
      </c>
      <c r="Y866" s="6" t="b">
        <f>IF(AND(Table1[[#This Row],[WHRS KW RECOVERED PER DAY]]&lt;&gt;0,Table1[[#This Row],[WHRS RH]]&lt;&gt;0),ROUND(Table1[[#This Row],[WHRS KW RECOVERED PER DAY]]/Table1[[#This Row],[WHRS RH]],1))</f>
        <v>0</v>
      </c>
      <c r="Z866" s="8"/>
      <c r="AA866" s="1"/>
      <c r="AB866" s="1"/>
      <c r="AC866" s="1"/>
      <c r="AD866" s="1"/>
      <c r="AE866" s="1"/>
      <c r="AF866" s="1"/>
      <c r="AG866" s="1" t="str">
        <f t="shared" si="36"/>
        <v/>
      </c>
      <c r="AH866" s="1" t="str">
        <f t="shared" si="37"/>
        <v/>
      </c>
      <c r="AI866" s="1" t="str">
        <f>IF(AH866="", "", SUM($AH$4:AH866))</f>
        <v/>
      </c>
      <c r="AJ866" s="9"/>
    </row>
    <row r="867" spans="1:36">
      <c r="A867" s="7"/>
      <c r="X867" s="6" t="str">
        <f>IF(Table1[[#This Row],[WHRS NET KW TOTAL]]&lt;&gt;0,Table1[[#This Row],[WHRS NET KW TOTAL]]-U866,"")</f>
        <v/>
      </c>
      <c r="Y867" s="6" t="b">
        <f>IF(AND(Table1[[#This Row],[WHRS KW RECOVERED PER DAY]]&lt;&gt;0,Table1[[#This Row],[WHRS RH]]&lt;&gt;0),ROUND(Table1[[#This Row],[WHRS KW RECOVERED PER DAY]]/Table1[[#This Row],[WHRS RH]],1))</f>
        <v>0</v>
      </c>
      <c r="Z867" s="8"/>
      <c r="AA867" s="1"/>
      <c r="AB867" s="1"/>
      <c r="AC867" s="1"/>
      <c r="AD867" s="1"/>
      <c r="AE867" s="1"/>
      <c r="AF867" s="1"/>
      <c r="AG867" s="1" t="str">
        <f t="shared" si="36"/>
        <v/>
      </c>
      <c r="AH867" s="1" t="str">
        <f t="shared" si="37"/>
        <v/>
      </c>
      <c r="AI867" s="1" t="str">
        <f>IF(AH867="", "", SUM($AH$4:AH867))</f>
        <v/>
      </c>
      <c r="AJ867" s="9"/>
    </row>
    <row r="868" spans="1:36">
      <c r="A868" s="7"/>
      <c r="X868" s="6" t="str">
        <f>IF(Table1[[#This Row],[WHRS NET KW TOTAL]]&lt;&gt;0,Table1[[#This Row],[WHRS NET KW TOTAL]]-U867,"")</f>
        <v/>
      </c>
      <c r="Y868" s="6" t="b">
        <f>IF(AND(Table1[[#This Row],[WHRS KW RECOVERED PER DAY]]&lt;&gt;0,Table1[[#This Row],[WHRS RH]]&lt;&gt;0),ROUND(Table1[[#This Row],[WHRS KW RECOVERED PER DAY]]/Table1[[#This Row],[WHRS RH]],1))</f>
        <v>0</v>
      </c>
      <c r="Z868" s="8"/>
      <c r="AA868" s="1"/>
      <c r="AB868" s="1"/>
      <c r="AC868" s="1"/>
      <c r="AD868" s="1"/>
      <c r="AE868" s="1"/>
      <c r="AF868" s="1"/>
      <c r="AG868" s="1" t="str">
        <f t="shared" si="36"/>
        <v/>
      </c>
      <c r="AH868" s="1" t="str">
        <f t="shared" si="37"/>
        <v/>
      </c>
      <c r="AI868" s="1" t="str">
        <f>IF(AH868="", "", SUM($AH$4:AH868))</f>
        <v/>
      </c>
      <c r="AJ868" s="9"/>
    </row>
    <row r="869" spans="1:36">
      <c r="A869" s="7"/>
      <c r="X869" s="6" t="str">
        <f>IF(Table1[[#This Row],[WHRS NET KW TOTAL]]&lt;&gt;0,Table1[[#This Row],[WHRS NET KW TOTAL]]-U868,"")</f>
        <v/>
      </c>
      <c r="Y869" s="6" t="b">
        <f>IF(AND(Table1[[#This Row],[WHRS KW RECOVERED PER DAY]]&lt;&gt;0,Table1[[#This Row],[WHRS RH]]&lt;&gt;0),ROUND(Table1[[#This Row],[WHRS KW RECOVERED PER DAY]]/Table1[[#This Row],[WHRS RH]],1))</f>
        <v>0</v>
      </c>
      <c r="Z869" s="8"/>
      <c r="AA869" s="1"/>
      <c r="AB869" s="1"/>
      <c r="AC869" s="1"/>
      <c r="AD869" s="1"/>
      <c r="AE869" s="1"/>
      <c r="AF869" s="1"/>
      <c r="AG869" s="1" t="str">
        <f t="shared" si="36"/>
        <v/>
      </c>
      <c r="AH869" s="1" t="str">
        <f t="shared" si="37"/>
        <v/>
      </c>
      <c r="AI869" s="1" t="str">
        <f>IF(AH869="", "", SUM($AH$4:AH869))</f>
        <v/>
      </c>
      <c r="AJ869" s="9"/>
    </row>
    <row r="870" spans="1:36">
      <c r="A870" s="7"/>
      <c r="X870" s="6" t="str">
        <f>IF(Table1[[#This Row],[WHRS NET KW TOTAL]]&lt;&gt;0,Table1[[#This Row],[WHRS NET KW TOTAL]]-U869,"")</f>
        <v/>
      </c>
      <c r="Y870" s="6" t="b">
        <f>IF(AND(Table1[[#This Row],[WHRS KW RECOVERED PER DAY]]&lt;&gt;0,Table1[[#This Row],[WHRS RH]]&lt;&gt;0),ROUND(Table1[[#This Row],[WHRS KW RECOVERED PER DAY]]/Table1[[#This Row],[WHRS RH]],1))</f>
        <v>0</v>
      </c>
      <c r="Z870" s="8"/>
      <c r="AA870" s="1"/>
      <c r="AB870" s="1"/>
      <c r="AC870" s="1"/>
      <c r="AD870" s="1"/>
      <c r="AE870" s="1"/>
      <c r="AF870" s="1"/>
      <c r="AG870" s="1" t="str">
        <f t="shared" si="36"/>
        <v/>
      </c>
      <c r="AH870" s="1" t="str">
        <f t="shared" si="37"/>
        <v/>
      </c>
      <c r="AI870" s="1" t="str">
        <f>IF(AH870="", "", SUM($AH$4:AH870))</f>
        <v/>
      </c>
      <c r="AJ870" s="9"/>
    </row>
    <row r="871" spans="1:36">
      <c r="A871" s="7"/>
      <c r="X871" s="6" t="str">
        <f>IF(Table1[[#This Row],[WHRS NET KW TOTAL]]&lt;&gt;0,Table1[[#This Row],[WHRS NET KW TOTAL]]-U870,"")</f>
        <v/>
      </c>
      <c r="Y871" s="6" t="b">
        <f>IF(AND(Table1[[#This Row],[WHRS KW RECOVERED PER DAY]]&lt;&gt;0,Table1[[#This Row],[WHRS RH]]&lt;&gt;0),ROUND(Table1[[#This Row],[WHRS KW RECOVERED PER DAY]]/Table1[[#This Row],[WHRS RH]],1))</f>
        <v>0</v>
      </c>
      <c r="Z871" s="8"/>
      <c r="AA871" s="1"/>
      <c r="AB871" s="1"/>
      <c r="AC871" s="1"/>
      <c r="AD871" s="1"/>
      <c r="AE871" s="1"/>
      <c r="AF871" s="1"/>
      <c r="AG871" s="1" t="str">
        <f t="shared" si="36"/>
        <v/>
      </c>
      <c r="AH871" s="1" t="str">
        <f t="shared" si="37"/>
        <v/>
      </c>
      <c r="AI871" s="1" t="str">
        <f>IF(AH871="", "", SUM($AH$4:AH871))</f>
        <v/>
      </c>
      <c r="AJ871" s="9"/>
    </row>
    <row r="872" spans="1:36">
      <c r="A872" s="7"/>
      <c r="X872" s="6" t="str">
        <f>IF(Table1[[#This Row],[WHRS NET KW TOTAL]]&lt;&gt;0,Table1[[#This Row],[WHRS NET KW TOTAL]]-U871,"")</f>
        <v/>
      </c>
      <c r="Y872" s="6" t="b">
        <f>IF(AND(Table1[[#This Row],[WHRS KW RECOVERED PER DAY]]&lt;&gt;0,Table1[[#This Row],[WHRS RH]]&lt;&gt;0),ROUND(Table1[[#This Row],[WHRS KW RECOVERED PER DAY]]/Table1[[#This Row],[WHRS RH]],1))</f>
        <v>0</v>
      </c>
      <c r="Z872" s="8"/>
      <c r="AA872" s="1"/>
      <c r="AB872" s="1"/>
      <c r="AC872" s="1"/>
      <c r="AD872" s="1"/>
      <c r="AE872" s="1"/>
      <c r="AF872" s="1"/>
      <c r="AG872" s="1" t="str">
        <f t="shared" si="36"/>
        <v/>
      </c>
      <c r="AH872" s="1" t="str">
        <f t="shared" si="37"/>
        <v/>
      </c>
      <c r="AI872" s="1" t="str">
        <f>IF(AH872="", "", SUM($AH$4:AH872))</f>
        <v/>
      </c>
      <c r="AJ872" s="9"/>
    </row>
    <row r="873" spans="1:36">
      <c r="A873" s="7"/>
      <c r="X873" s="6" t="str">
        <f>IF(Table1[[#This Row],[WHRS NET KW TOTAL]]&lt;&gt;0,Table1[[#This Row],[WHRS NET KW TOTAL]]-U872,"")</f>
        <v/>
      </c>
      <c r="Y873" s="6" t="b">
        <f>IF(AND(Table1[[#This Row],[WHRS KW RECOVERED PER DAY]]&lt;&gt;0,Table1[[#This Row],[WHRS RH]]&lt;&gt;0),ROUND(Table1[[#This Row],[WHRS KW RECOVERED PER DAY]]/Table1[[#This Row],[WHRS RH]],1))</f>
        <v>0</v>
      </c>
      <c r="Z873" s="8"/>
      <c r="AA873" s="1"/>
      <c r="AB873" s="1"/>
      <c r="AC873" s="1"/>
      <c r="AD873" s="1"/>
      <c r="AE873" s="1"/>
      <c r="AF873" s="1"/>
      <c r="AG873" s="1" t="str">
        <f t="shared" si="36"/>
        <v/>
      </c>
      <c r="AH873" s="1" t="str">
        <f t="shared" si="37"/>
        <v/>
      </c>
      <c r="AI873" s="1" t="str">
        <f>IF(AH873="", "", SUM($AH$4:AH873))</f>
        <v/>
      </c>
      <c r="AJ873" s="9"/>
    </row>
    <row r="874" spans="1:36">
      <c r="A874" s="7"/>
      <c r="X874" s="6" t="str">
        <f>IF(Table1[[#This Row],[WHRS NET KW TOTAL]]&lt;&gt;0,Table1[[#This Row],[WHRS NET KW TOTAL]]-U873,"")</f>
        <v/>
      </c>
      <c r="Y874" s="6" t="b">
        <f>IF(AND(Table1[[#This Row],[WHRS KW RECOVERED PER DAY]]&lt;&gt;0,Table1[[#This Row],[WHRS RH]]&lt;&gt;0),ROUND(Table1[[#This Row],[WHRS KW RECOVERED PER DAY]]/Table1[[#This Row],[WHRS RH]],1))</f>
        <v>0</v>
      </c>
      <c r="Z874" s="8"/>
      <c r="AA874" s="1"/>
      <c r="AB874" s="1"/>
      <c r="AC874" s="1"/>
      <c r="AD874" s="1"/>
      <c r="AE874" s="1"/>
      <c r="AF874" s="1"/>
      <c r="AG874" s="1" t="str">
        <f t="shared" si="36"/>
        <v/>
      </c>
      <c r="AH874" s="1" t="str">
        <f t="shared" si="37"/>
        <v/>
      </c>
      <c r="AI874" s="1" t="str">
        <f>IF(AH874="", "", SUM($AH$4:AH874))</f>
        <v/>
      </c>
      <c r="AJ874" s="9"/>
    </row>
    <row r="875" spans="1:36">
      <c r="A875" s="7"/>
      <c r="X875" s="6" t="str">
        <f>IF(Table1[[#This Row],[WHRS NET KW TOTAL]]&lt;&gt;0,Table1[[#This Row],[WHRS NET KW TOTAL]]-U874,"")</f>
        <v/>
      </c>
      <c r="Y875" s="6" t="b">
        <f>IF(AND(Table1[[#This Row],[WHRS KW RECOVERED PER DAY]]&lt;&gt;0,Table1[[#This Row],[WHRS RH]]&lt;&gt;0),ROUND(Table1[[#This Row],[WHRS KW RECOVERED PER DAY]]/Table1[[#This Row],[WHRS RH]],1))</f>
        <v>0</v>
      </c>
      <c r="Z875" s="8"/>
      <c r="AA875" s="1"/>
      <c r="AB875" s="1"/>
      <c r="AC875" s="1"/>
      <c r="AD875" s="1"/>
      <c r="AE875" s="1"/>
      <c r="AF875" s="1"/>
      <c r="AG875" s="1" t="str">
        <f t="shared" si="36"/>
        <v/>
      </c>
      <c r="AH875" s="1" t="str">
        <f t="shared" si="37"/>
        <v/>
      </c>
      <c r="AI875" s="1" t="str">
        <f>IF(AH875="", "", SUM($AH$4:AH875))</f>
        <v/>
      </c>
      <c r="AJ875" s="9"/>
    </row>
    <row r="876" spans="1:36">
      <c r="A876" s="7"/>
      <c r="X876" s="6" t="str">
        <f>IF(Table1[[#This Row],[WHRS NET KW TOTAL]]&lt;&gt;0,Table1[[#This Row],[WHRS NET KW TOTAL]]-U875,"")</f>
        <v/>
      </c>
      <c r="Y876" s="6" t="b">
        <f>IF(AND(Table1[[#This Row],[WHRS KW RECOVERED PER DAY]]&lt;&gt;0,Table1[[#This Row],[WHRS RH]]&lt;&gt;0),ROUND(Table1[[#This Row],[WHRS KW RECOVERED PER DAY]]/Table1[[#This Row],[WHRS RH]],1))</f>
        <v>0</v>
      </c>
      <c r="Z876" s="8"/>
      <c r="AA876" s="1"/>
      <c r="AB876" s="1"/>
      <c r="AC876" s="1"/>
      <c r="AD876" s="1"/>
      <c r="AE876" s="1"/>
      <c r="AF876" s="1"/>
      <c r="AG876" s="1" t="str">
        <f t="shared" si="36"/>
        <v/>
      </c>
      <c r="AH876" s="1" t="str">
        <f t="shared" si="37"/>
        <v/>
      </c>
      <c r="AI876" s="1" t="str">
        <f>IF(AH876="", "", SUM($AH$4:AH876))</f>
        <v/>
      </c>
      <c r="AJ876" s="9"/>
    </row>
    <row r="877" spans="1:36">
      <c r="A877" s="7"/>
      <c r="X877" s="6" t="str">
        <f>IF(Table1[[#This Row],[WHRS NET KW TOTAL]]&lt;&gt;0,Table1[[#This Row],[WHRS NET KW TOTAL]]-U876,"")</f>
        <v/>
      </c>
      <c r="Y877" s="6" t="b">
        <f>IF(AND(Table1[[#This Row],[WHRS KW RECOVERED PER DAY]]&lt;&gt;0,Table1[[#This Row],[WHRS RH]]&lt;&gt;0),ROUND(Table1[[#This Row],[WHRS KW RECOVERED PER DAY]]/Table1[[#This Row],[WHRS RH]],1))</f>
        <v>0</v>
      </c>
      <c r="Z877" s="8"/>
      <c r="AA877" s="1"/>
      <c r="AB877" s="1"/>
      <c r="AC877" s="1"/>
      <c r="AD877" s="1"/>
      <c r="AE877" s="1"/>
      <c r="AF877" s="1"/>
      <c r="AG877" s="1" t="str">
        <f t="shared" si="36"/>
        <v/>
      </c>
      <c r="AH877" s="1" t="str">
        <f t="shared" si="37"/>
        <v/>
      </c>
      <c r="AI877" s="1" t="str">
        <f>IF(AH877="", "", SUM($AH$4:AH877))</f>
        <v/>
      </c>
      <c r="AJ877" s="9"/>
    </row>
    <row r="878" spans="1:36">
      <c r="A878" s="7"/>
      <c r="X878" s="6" t="str">
        <f>IF(Table1[[#This Row],[WHRS NET KW TOTAL]]&lt;&gt;0,Table1[[#This Row],[WHRS NET KW TOTAL]]-U877,"")</f>
        <v/>
      </c>
      <c r="Y878" s="6" t="b">
        <f>IF(AND(Table1[[#This Row],[WHRS KW RECOVERED PER DAY]]&lt;&gt;0,Table1[[#This Row],[WHRS RH]]&lt;&gt;0),ROUND(Table1[[#This Row],[WHRS KW RECOVERED PER DAY]]/Table1[[#This Row],[WHRS RH]],1))</f>
        <v>0</v>
      </c>
      <c r="Z878" s="8"/>
      <c r="AA878" s="1"/>
      <c r="AB878" s="1"/>
      <c r="AC878" s="1"/>
      <c r="AD878" s="1"/>
      <c r="AE878" s="1"/>
      <c r="AF878" s="1"/>
      <c r="AG878" s="1" t="str">
        <f t="shared" si="36"/>
        <v/>
      </c>
      <c r="AH878" s="1" t="str">
        <f t="shared" si="37"/>
        <v/>
      </c>
      <c r="AI878" s="1" t="str">
        <f>IF(AH878="", "", SUM($AH$4:AH878))</f>
        <v/>
      </c>
      <c r="AJ878" s="9"/>
    </row>
    <row r="879" spans="1:36">
      <c r="A879" s="7"/>
      <c r="X879" s="6" t="str">
        <f>IF(Table1[[#This Row],[WHRS NET KW TOTAL]]&lt;&gt;0,Table1[[#This Row],[WHRS NET KW TOTAL]]-U878,"")</f>
        <v/>
      </c>
      <c r="Y879" s="6" t="b">
        <f>IF(AND(Table1[[#This Row],[WHRS KW RECOVERED PER DAY]]&lt;&gt;0,Table1[[#This Row],[WHRS RH]]&lt;&gt;0),ROUND(Table1[[#This Row],[WHRS KW RECOVERED PER DAY]]/Table1[[#This Row],[WHRS RH]],1))</f>
        <v>0</v>
      </c>
      <c r="Z879" s="8"/>
      <c r="AA879" s="1"/>
      <c r="AB879" s="1"/>
      <c r="AC879" s="1"/>
      <c r="AD879" s="1"/>
      <c r="AE879" s="1"/>
      <c r="AF879" s="1"/>
      <c r="AG879" s="1" t="str">
        <f t="shared" si="36"/>
        <v/>
      </c>
      <c r="AH879" s="1" t="str">
        <f t="shared" si="37"/>
        <v/>
      </c>
      <c r="AI879" s="1" t="str">
        <f>IF(AH879="", "", SUM($AH$4:AH879))</f>
        <v/>
      </c>
      <c r="AJ879" s="9"/>
    </row>
    <row r="880" spans="1:36">
      <c r="A880" s="7"/>
      <c r="X880" s="6" t="str">
        <f>IF(Table1[[#This Row],[WHRS NET KW TOTAL]]&lt;&gt;0,Table1[[#This Row],[WHRS NET KW TOTAL]]-U879,"")</f>
        <v/>
      </c>
      <c r="Y880" s="6" t="b">
        <f>IF(AND(Table1[[#This Row],[WHRS KW RECOVERED PER DAY]]&lt;&gt;0,Table1[[#This Row],[WHRS RH]]&lt;&gt;0),ROUND(Table1[[#This Row],[WHRS KW RECOVERED PER DAY]]/Table1[[#This Row],[WHRS RH]],1))</f>
        <v>0</v>
      </c>
      <c r="Z880" s="8"/>
      <c r="AA880" s="1"/>
      <c r="AB880" s="1"/>
      <c r="AC880" s="1"/>
      <c r="AD880" s="1"/>
      <c r="AE880" s="1"/>
      <c r="AF880" s="1"/>
      <c r="AG880" s="1" t="str">
        <f t="shared" si="36"/>
        <v/>
      </c>
      <c r="AH880" s="1" t="str">
        <f t="shared" si="37"/>
        <v/>
      </c>
      <c r="AI880" s="1" t="str">
        <f>IF(AH880="", "", SUM($AH$4:AH880))</f>
        <v/>
      </c>
      <c r="AJ880" s="9"/>
    </row>
    <row r="881" spans="1:36">
      <c r="A881" s="7"/>
      <c r="X881" s="6" t="str">
        <f>IF(Table1[[#This Row],[WHRS NET KW TOTAL]]&lt;&gt;0,Table1[[#This Row],[WHRS NET KW TOTAL]]-U880,"")</f>
        <v/>
      </c>
      <c r="Y881" s="6" t="b">
        <f>IF(AND(Table1[[#This Row],[WHRS KW RECOVERED PER DAY]]&lt;&gt;0,Table1[[#This Row],[WHRS RH]]&lt;&gt;0),ROUND(Table1[[#This Row],[WHRS KW RECOVERED PER DAY]]/Table1[[#This Row],[WHRS RH]],1))</f>
        <v>0</v>
      </c>
      <c r="Z881" s="8"/>
      <c r="AA881" s="1"/>
      <c r="AB881" s="1"/>
      <c r="AC881" s="1"/>
      <c r="AD881" s="1"/>
      <c r="AE881" s="1"/>
      <c r="AF881" s="1"/>
      <c r="AG881" s="1" t="str">
        <f t="shared" si="36"/>
        <v/>
      </c>
      <c r="AH881" s="1" t="str">
        <f t="shared" si="37"/>
        <v/>
      </c>
      <c r="AI881" s="1" t="str">
        <f>IF(AH881="", "", SUM($AH$4:AH881))</f>
        <v/>
      </c>
      <c r="AJ881" s="9"/>
    </row>
    <row r="882" spans="1:36">
      <c r="A882" s="7"/>
      <c r="X882" s="6" t="str">
        <f>IF(Table1[[#This Row],[WHRS NET KW TOTAL]]&lt;&gt;0,Table1[[#This Row],[WHRS NET KW TOTAL]]-U881,"")</f>
        <v/>
      </c>
      <c r="Y882" s="6" t="b">
        <f>IF(AND(Table1[[#This Row],[WHRS KW RECOVERED PER DAY]]&lt;&gt;0,Table1[[#This Row],[WHRS RH]]&lt;&gt;0),ROUND(Table1[[#This Row],[WHRS KW RECOVERED PER DAY]]/Table1[[#This Row],[WHRS RH]],1))</f>
        <v>0</v>
      </c>
      <c r="Z882" s="8"/>
      <c r="AA882" s="1"/>
      <c r="AB882" s="1"/>
      <c r="AC882" s="1"/>
      <c r="AD882" s="1"/>
      <c r="AE882" s="1"/>
      <c r="AF882" s="1"/>
      <c r="AG882" s="1" t="str">
        <f t="shared" si="36"/>
        <v/>
      </c>
      <c r="AH882" s="1" t="str">
        <f t="shared" si="37"/>
        <v/>
      </c>
      <c r="AI882" s="1" t="str">
        <f>IF(AH882="", "", SUM($AH$4:AH882))</f>
        <v/>
      </c>
      <c r="AJ882" s="9"/>
    </row>
    <row r="883" spans="1:36">
      <c r="A883" s="7"/>
      <c r="X883" s="6" t="str">
        <f>IF(Table1[[#This Row],[WHRS NET KW TOTAL]]&lt;&gt;0,Table1[[#This Row],[WHRS NET KW TOTAL]]-U882,"")</f>
        <v/>
      </c>
      <c r="Y883" s="6" t="b">
        <f>IF(AND(Table1[[#This Row],[WHRS KW RECOVERED PER DAY]]&lt;&gt;0,Table1[[#This Row],[WHRS RH]]&lt;&gt;0),ROUND(Table1[[#This Row],[WHRS KW RECOVERED PER DAY]]/Table1[[#This Row],[WHRS RH]],1))</f>
        <v>0</v>
      </c>
      <c r="Z883" s="8"/>
      <c r="AA883" s="1"/>
      <c r="AB883" s="1"/>
      <c r="AC883" s="1"/>
      <c r="AD883" s="1"/>
      <c r="AE883" s="1"/>
      <c r="AF883" s="1"/>
      <c r="AG883" s="1" t="str">
        <f t="shared" si="36"/>
        <v/>
      </c>
      <c r="AH883" s="1" t="str">
        <f t="shared" si="37"/>
        <v/>
      </c>
      <c r="AI883" s="1" t="str">
        <f>IF(AH883="", "", SUM($AH$4:AH883))</f>
        <v/>
      </c>
      <c r="AJ883" s="9"/>
    </row>
    <row r="884" spans="1:36">
      <c r="A884" s="7"/>
      <c r="X884" s="6" t="str">
        <f>IF(Table1[[#This Row],[WHRS NET KW TOTAL]]&lt;&gt;0,Table1[[#This Row],[WHRS NET KW TOTAL]]-U883,"")</f>
        <v/>
      </c>
      <c r="Y884" s="6" t="b">
        <f>IF(AND(Table1[[#This Row],[WHRS KW RECOVERED PER DAY]]&lt;&gt;0,Table1[[#This Row],[WHRS RH]]&lt;&gt;0),ROUND(Table1[[#This Row],[WHRS KW RECOVERED PER DAY]]/Table1[[#This Row],[WHRS RH]],1))</f>
        <v>0</v>
      </c>
      <c r="Z884" s="8"/>
      <c r="AA884" s="1"/>
      <c r="AB884" s="1"/>
      <c r="AC884" s="1"/>
      <c r="AD884" s="1"/>
      <c r="AE884" s="1"/>
      <c r="AF884" s="1"/>
      <c r="AG884" s="1" t="str">
        <f t="shared" si="36"/>
        <v/>
      </c>
      <c r="AH884" s="1" t="str">
        <f t="shared" si="37"/>
        <v/>
      </c>
      <c r="AI884" s="1" t="str">
        <f>IF(AH884="", "", SUM($AH$4:AH884))</f>
        <v/>
      </c>
      <c r="AJ884" s="9"/>
    </row>
    <row r="885" spans="1:36">
      <c r="A885" s="7"/>
      <c r="X885" s="6" t="str">
        <f>IF(Table1[[#This Row],[WHRS NET KW TOTAL]]&lt;&gt;0,Table1[[#This Row],[WHRS NET KW TOTAL]]-U884,"")</f>
        <v/>
      </c>
      <c r="Y885" s="6" t="b">
        <f>IF(AND(Table1[[#This Row],[WHRS KW RECOVERED PER DAY]]&lt;&gt;0,Table1[[#This Row],[WHRS RH]]&lt;&gt;0),ROUND(Table1[[#This Row],[WHRS KW RECOVERED PER DAY]]/Table1[[#This Row],[WHRS RH]],1))</f>
        <v>0</v>
      </c>
      <c r="Z885" s="8"/>
      <c r="AA885" s="1"/>
      <c r="AB885" s="1"/>
      <c r="AC885" s="1"/>
      <c r="AD885" s="1"/>
      <c r="AE885" s="1"/>
      <c r="AF885" s="1"/>
      <c r="AG885" s="1" t="str">
        <f t="shared" si="36"/>
        <v/>
      </c>
      <c r="AH885" s="1" t="str">
        <f t="shared" si="37"/>
        <v/>
      </c>
      <c r="AI885" s="1" t="str">
        <f>IF(AH885="", "", SUM($AH$4:AH885))</f>
        <v/>
      </c>
      <c r="AJ885" s="9"/>
    </row>
    <row r="886" spans="1:36">
      <c r="A886" s="7"/>
      <c r="X886" s="6" t="str">
        <f>IF(Table1[[#This Row],[WHRS NET KW TOTAL]]&lt;&gt;0,Table1[[#This Row],[WHRS NET KW TOTAL]]-U885,"")</f>
        <v/>
      </c>
      <c r="Y886" s="6" t="b">
        <f>IF(AND(Table1[[#This Row],[WHRS KW RECOVERED PER DAY]]&lt;&gt;0,Table1[[#This Row],[WHRS RH]]&lt;&gt;0),ROUND(Table1[[#This Row],[WHRS KW RECOVERED PER DAY]]/Table1[[#This Row],[WHRS RH]],1))</f>
        <v>0</v>
      </c>
      <c r="Z886" s="8"/>
      <c r="AA886" s="1"/>
      <c r="AB886" s="1"/>
      <c r="AC886" s="1"/>
      <c r="AD886" s="1"/>
      <c r="AE886" s="1"/>
      <c r="AF886" s="1"/>
      <c r="AG886" s="1" t="str">
        <f t="shared" si="36"/>
        <v/>
      </c>
      <c r="AH886" s="1" t="str">
        <f t="shared" si="37"/>
        <v/>
      </c>
      <c r="AI886" s="1" t="str">
        <f>IF(AH886="", "", SUM($AH$4:AH886))</f>
        <v/>
      </c>
      <c r="AJ886" s="9"/>
    </row>
    <row r="887" spans="1:36">
      <c r="A887" s="7"/>
      <c r="X887" s="6" t="str">
        <f>IF(Table1[[#This Row],[WHRS NET KW TOTAL]]&lt;&gt;0,Table1[[#This Row],[WHRS NET KW TOTAL]]-U886,"")</f>
        <v/>
      </c>
      <c r="Y887" s="6" t="b">
        <f>IF(AND(Table1[[#This Row],[WHRS KW RECOVERED PER DAY]]&lt;&gt;0,Table1[[#This Row],[WHRS RH]]&lt;&gt;0),ROUND(Table1[[#This Row],[WHRS KW RECOVERED PER DAY]]/Table1[[#This Row],[WHRS RH]],1))</f>
        <v>0</v>
      </c>
      <c r="Z887" s="8"/>
      <c r="AA887" s="1"/>
      <c r="AB887" s="1"/>
      <c r="AC887" s="1"/>
      <c r="AD887" s="1"/>
      <c r="AE887" s="1"/>
      <c r="AF887" s="1"/>
      <c r="AG887" s="1" t="str">
        <f t="shared" si="36"/>
        <v/>
      </c>
      <c r="AH887" s="1" t="str">
        <f t="shared" si="37"/>
        <v/>
      </c>
      <c r="AI887" s="1" t="str">
        <f>IF(AH887="", "", SUM($AH$4:AH887))</f>
        <v/>
      </c>
      <c r="AJ887" s="9"/>
    </row>
    <row r="888" spans="1:36">
      <c r="A888" s="7"/>
      <c r="X888" s="6" t="str">
        <f>IF(Table1[[#This Row],[WHRS NET KW TOTAL]]&lt;&gt;0,Table1[[#This Row],[WHRS NET KW TOTAL]]-U887,"")</f>
        <v/>
      </c>
      <c r="Y888" s="6" t="b">
        <f>IF(AND(Table1[[#This Row],[WHRS KW RECOVERED PER DAY]]&lt;&gt;0,Table1[[#This Row],[WHRS RH]]&lt;&gt;0),ROUND(Table1[[#This Row],[WHRS KW RECOVERED PER DAY]]/Table1[[#This Row],[WHRS RH]],1))</f>
        <v>0</v>
      </c>
      <c r="Z888" s="8"/>
      <c r="AA888" s="1"/>
      <c r="AB888" s="1"/>
      <c r="AC888" s="1"/>
      <c r="AD888" s="1"/>
      <c r="AE888" s="1"/>
      <c r="AF888" s="1"/>
      <c r="AG888" s="1" t="str">
        <f t="shared" si="36"/>
        <v/>
      </c>
      <c r="AH888" s="1" t="str">
        <f t="shared" si="37"/>
        <v/>
      </c>
      <c r="AI888" s="1" t="str">
        <f>IF(AH888="", "", SUM($AH$4:AH888))</f>
        <v/>
      </c>
      <c r="AJ888" s="9"/>
    </row>
    <row r="889" spans="1:36">
      <c r="A889" s="7"/>
      <c r="X889" s="6" t="str">
        <f>IF(Table1[[#This Row],[WHRS NET KW TOTAL]]&lt;&gt;0,Table1[[#This Row],[WHRS NET KW TOTAL]]-U888,"")</f>
        <v/>
      </c>
      <c r="Y889" s="6" t="b">
        <f>IF(AND(Table1[[#This Row],[WHRS KW RECOVERED PER DAY]]&lt;&gt;0,Table1[[#This Row],[WHRS RH]]&lt;&gt;0),ROUND(Table1[[#This Row],[WHRS KW RECOVERED PER DAY]]/Table1[[#This Row],[WHRS RH]],1))</f>
        <v>0</v>
      </c>
      <c r="Z889" s="8"/>
      <c r="AA889" s="1"/>
      <c r="AB889" s="1"/>
      <c r="AC889" s="1"/>
      <c r="AD889" s="1"/>
      <c r="AE889" s="1"/>
      <c r="AF889" s="1"/>
      <c r="AG889" s="1" t="str">
        <f t="shared" si="36"/>
        <v/>
      </c>
      <c r="AH889" s="1" t="str">
        <f t="shared" si="37"/>
        <v/>
      </c>
      <c r="AI889" s="1" t="str">
        <f>IF(AH889="", "", SUM($AH$4:AH889))</f>
        <v/>
      </c>
      <c r="AJ889" s="9"/>
    </row>
    <row r="890" spans="1:36">
      <c r="A890" s="7"/>
      <c r="X890" s="6" t="str">
        <f>IF(Table1[[#This Row],[WHRS NET KW TOTAL]]&lt;&gt;0,Table1[[#This Row],[WHRS NET KW TOTAL]]-U889,"")</f>
        <v/>
      </c>
      <c r="Y890" s="6" t="b">
        <f>IF(AND(Table1[[#This Row],[WHRS KW RECOVERED PER DAY]]&lt;&gt;0,Table1[[#This Row],[WHRS RH]]&lt;&gt;0),ROUND(Table1[[#This Row],[WHRS KW RECOVERED PER DAY]]/Table1[[#This Row],[WHRS RH]],1))</f>
        <v>0</v>
      </c>
      <c r="Z890" s="8"/>
      <c r="AA890" s="1"/>
      <c r="AB890" s="1"/>
      <c r="AC890" s="1"/>
      <c r="AD890" s="1"/>
      <c r="AE890" s="1"/>
      <c r="AF890" s="1"/>
      <c r="AG890" s="1" t="str">
        <f t="shared" si="36"/>
        <v/>
      </c>
      <c r="AH890" s="1" t="str">
        <f t="shared" si="37"/>
        <v/>
      </c>
      <c r="AI890" s="1" t="str">
        <f>IF(AH890="", "", SUM($AH$4:AH890))</f>
        <v/>
      </c>
      <c r="AJ890" s="9"/>
    </row>
    <row r="891" spans="1:36">
      <c r="A891" s="7"/>
      <c r="X891" s="6" t="str">
        <f>IF(Table1[[#This Row],[WHRS NET KW TOTAL]]&lt;&gt;0,Table1[[#This Row],[WHRS NET KW TOTAL]]-U890,"")</f>
        <v/>
      </c>
      <c r="Y891" s="6" t="b">
        <f>IF(AND(Table1[[#This Row],[WHRS KW RECOVERED PER DAY]]&lt;&gt;0,Table1[[#This Row],[WHRS RH]]&lt;&gt;0),ROUND(Table1[[#This Row],[WHRS KW RECOVERED PER DAY]]/Table1[[#This Row],[WHRS RH]],1))</f>
        <v>0</v>
      </c>
      <c r="Z891" s="8"/>
      <c r="AA891" s="1"/>
      <c r="AB891" s="1"/>
      <c r="AC891" s="1"/>
      <c r="AD891" s="1"/>
      <c r="AE891" s="1"/>
      <c r="AF891" s="1"/>
      <c r="AG891" s="1" t="str">
        <f t="shared" si="36"/>
        <v/>
      </c>
      <c r="AH891" s="1" t="str">
        <f t="shared" si="37"/>
        <v/>
      </c>
      <c r="AI891" s="1" t="str">
        <f>IF(AH891="", "", SUM($AH$4:AH891))</f>
        <v/>
      </c>
      <c r="AJ891" s="9"/>
    </row>
    <row r="892" spans="1:36">
      <c r="A892" s="7"/>
      <c r="X892" s="6" t="str">
        <f>IF(Table1[[#This Row],[WHRS NET KW TOTAL]]&lt;&gt;0,Table1[[#This Row],[WHRS NET KW TOTAL]]-U891,"")</f>
        <v/>
      </c>
      <c r="Y892" s="6" t="b">
        <f>IF(AND(Table1[[#This Row],[WHRS KW RECOVERED PER DAY]]&lt;&gt;0,Table1[[#This Row],[WHRS RH]]&lt;&gt;0),ROUND(Table1[[#This Row],[WHRS KW RECOVERED PER DAY]]/Table1[[#This Row],[WHRS RH]],1))</f>
        <v>0</v>
      </c>
      <c r="Z892" s="8"/>
      <c r="AA892" s="1"/>
      <c r="AB892" s="1"/>
      <c r="AC892" s="1"/>
      <c r="AD892" s="1"/>
      <c r="AE892" s="1"/>
      <c r="AF892" s="1"/>
      <c r="AG892" s="1" t="str">
        <f t="shared" si="36"/>
        <v/>
      </c>
      <c r="AH892" s="1" t="str">
        <f t="shared" si="37"/>
        <v/>
      </c>
      <c r="AI892" s="1" t="str">
        <f>IF(AH892="", "", SUM($AH$4:AH892))</f>
        <v/>
      </c>
      <c r="AJ892" s="9"/>
    </row>
    <row r="893" spans="1:36">
      <c r="A893" s="7"/>
      <c r="X893" s="6" t="str">
        <f>IF(Table1[[#This Row],[WHRS NET KW TOTAL]]&lt;&gt;0,Table1[[#This Row],[WHRS NET KW TOTAL]]-U892,"")</f>
        <v/>
      </c>
      <c r="Y893" s="6" t="b">
        <f>IF(AND(Table1[[#This Row],[WHRS KW RECOVERED PER DAY]]&lt;&gt;0,Table1[[#This Row],[WHRS RH]]&lt;&gt;0),ROUND(Table1[[#This Row],[WHRS KW RECOVERED PER DAY]]/Table1[[#This Row],[WHRS RH]],1))</f>
        <v>0</v>
      </c>
      <c r="Z893" s="8"/>
      <c r="AA893" s="1"/>
      <c r="AB893" s="1"/>
      <c r="AC893" s="1"/>
      <c r="AD893" s="1"/>
      <c r="AE893" s="1"/>
      <c r="AF893" s="1"/>
      <c r="AG893" s="1" t="str">
        <f t="shared" si="36"/>
        <v/>
      </c>
      <c r="AH893" s="1" t="str">
        <f t="shared" si="37"/>
        <v/>
      </c>
      <c r="AI893" s="1" t="str">
        <f>IF(AH893="", "", SUM($AH$4:AH893))</f>
        <v/>
      </c>
      <c r="AJ893" s="9"/>
    </row>
    <row r="894" spans="1:36">
      <c r="A894" s="7"/>
      <c r="X894" s="6" t="str">
        <f>IF(Table1[[#This Row],[WHRS NET KW TOTAL]]&lt;&gt;0,Table1[[#This Row],[WHRS NET KW TOTAL]]-U893,"")</f>
        <v/>
      </c>
      <c r="Y894" s="6" t="b">
        <f>IF(AND(Table1[[#This Row],[WHRS KW RECOVERED PER DAY]]&lt;&gt;0,Table1[[#This Row],[WHRS RH]]&lt;&gt;0),ROUND(Table1[[#This Row],[WHRS KW RECOVERED PER DAY]]/Table1[[#This Row],[WHRS RH]],1))</f>
        <v>0</v>
      </c>
      <c r="Z894" s="8"/>
      <c r="AA894" s="1"/>
      <c r="AB894" s="1"/>
      <c r="AC894" s="1"/>
      <c r="AD894" s="1"/>
      <c r="AE894" s="1"/>
      <c r="AF894" s="1"/>
      <c r="AG894" s="1" t="str">
        <f t="shared" si="36"/>
        <v/>
      </c>
      <c r="AH894" s="1" t="str">
        <f t="shared" si="37"/>
        <v/>
      </c>
      <c r="AI894" s="1" t="str">
        <f>IF(AH894="", "", SUM($AH$4:AH894))</f>
        <v/>
      </c>
      <c r="AJ894" s="9"/>
    </row>
    <row r="895" spans="1:36">
      <c r="A895" s="7"/>
      <c r="X895" s="6" t="str">
        <f>IF(Table1[[#This Row],[WHRS NET KW TOTAL]]&lt;&gt;0,Table1[[#This Row],[WHRS NET KW TOTAL]]-U894,"")</f>
        <v/>
      </c>
      <c r="Y895" s="6" t="b">
        <f>IF(AND(Table1[[#This Row],[WHRS KW RECOVERED PER DAY]]&lt;&gt;0,Table1[[#This Row],[WHRS RH]]&lt;&gt;0),ROUND(Table1[[#This Row],[WHRS KW RECOVERED PER DAY]]/Table1[[#This Row],[WHRS RH]],1))</f>
        <v>0</v>
      </c>
      <c r="Z895" s="8"/>
      <c r="AA895" s="1"/>
      <c r="AB895" s="1"/>
      <c r="AC895" s="1"/>
      <c r="AD895" s="1"/>
      <c r="AE895" s="1"/>
      <c r="AF895" s="1"/>
      <c r="AG895" s="1" t="str">
        <f t="shared" si="36"/>
        <v/>
      </c>
      <c r="AH895" s="1" t="str">
        <f t="shared" ref="AH895:AH898" si="38">IF(W895="","", W895 * (AG895 / 1000000) * AH895)</f>
        <v/>
      </c>
      <c r="AI895" s="1" t="str">
        <f>IF(AH895="", "", SUM($AH$4:AH895))</f>
        <v/>
      </c>
      <c r="AJ895" s="9"/>
    </row>
    <row r="896" spans="1:36">
      <c r="A896" s="7"/>
      <c r="X896" s="6" t="str">
        <f>IF(Table1[[#This Row],[WHRS NET KW TOTAL]]&lt;&gt;0,Table1[[#This Row],[WHRS NET KW TOTAL]]-U895,"")</f>
        <v/>
      </c>
      <c r="Y896" s="6" t="b">
        <f>IF(AND(Table1[[#This Row],[WHRS KW RECOVERED PER DAY]]&lt;&gt;0,Table1[[#This Row],[WHRS RH]]&lt;&gt;0),ROUND(Table1[[#This Row],[WHRS KW RECOVERED PER DAY]]/Table1[[#This Row],[WHRS RH]],1))</f>
        <v>0</v>
      </c>
      <c r="Z896" s="8"/>
      <c r="AA896" s="1"/>
      <c r="AB896" s="1"/>
      <c r="AC896" s="1"/>
      <c r="AD896" s="1"/>
      <c r="AE896" s="1"/>
      <c r="AF896" s="1"/>
      <c r="AG896" s="1" t="str">
        <f t="shared" si="36"/>
        <v/>
      </c>
      <c r="AH896" s="1" t="str">
        <f t="shared" si="38"/>
        <v/>
      </c>
      <c r="AI896" s="1" t="str">
        <f>IF(AH896="", "", SUM($AH$4:AH896))</f>
        <v/>
      </c>
      <c r="AJ896" s="9"/>
    </row>
    <row r="897" spans="1:36">
      <c r="A897" s="7"/>
      <c r="X897" s="6" t="str">
        <f>IF(Table1[[#This Row],[WHRS NET KW TOTAL]]&lt;&gt;0,Table1[[#This Row],[WHRS NET KW TOTAL]]-U896,"")</f>
        <v/>
      </c>
      <c r="Y897" s="6" t="b">
        <f>IF(AND(Table1[[#This Row],[WHRS KW RECOVERED PER DAY]]&lt;&gt;0,Table1[[#This Row],[WHRS RH]]&lt;&gt;0),ROUND(Table1[[#This Row],[WHRS KW RECOVERED PER DAY]]/Table1[[#This Row],[WHRS RH]],1))</f>
        <v>0</v>
      </c>
      <c r="Z897" s="8"/>
      <c r="AA897" s="1"/>
      <c r="AB897" s="1"/>
      <c r="AC897" s="1"/>
      <c r="AD897" s="1"/>
      <c r="AE897" s="1"/>
      <c r="AF897" s="1"/>
      <c r="AG897" s="1" t="str">
        <f t="shared" si="36"/>
        <v/>
      </c>
      <c r="AH897" s="1" t="str">
        <f t="shared" si="38"/>
        <v/>
      </c>
      <c r="AI897" s="1" t="str">
        <f>IF(AH897="", "", SUM($AH$4:AH897))</f>
        <v/>
      </c>
      <c r="AJ897" s="9"/>
    </row>
    <row r="898" spans="1:36">
      <c r="A898" s="7"/>
      <c r="X898" s="6" t="str">
        <f>IF(Table1[[#This Row],[WHRS NET KW TOTAL]]&lt;&gt;0,Table1[[#This Row],[WHRS NET KW TOTAL]]-U897,"")</f>
        <v/>
      </c>
      <c r="Y898" s="6" t="b">
        <f>IF(AND(Table1[[#This Row],[WHRS KW RECOVERED PER DAY]]&lt;&gt;0,Table1[[#This Row],[WHRS RH]]&lt;&gt;0),ROUND(Table1[[#This Row],[WHRS KW RECOVERED PER DAY]]/Table1[[#This Row],[WHRS RH]],1))</f>
        <v>0</v>
      </c>
      <c r="Z898" s="8"/>
      <c r="AA898" s="1"/>
      <c r="AB898" s="1"/>
      <c r="AC898" s="1"/>
      <c r="AD898" s="1"/>
      <c r="AE898" s="1"/>
      <c r="AF898" s="1"/>
      <c r="AG898" s="1" t="str">
        <f t="shared" si="36"/>
        <v/>
      </c>
      <c r="AH898" s="1" t="str">
        <f t="shared" si="38"/>
        <v/>
      </c>
      <c r="AI898" s="1" t="str">
        <f>IF(AH898="", "", SUM($AH$4:AH898))</f>
        <v/>
      </c>
      <c r="AJ898" s="9"/>
    </row>
    <row r="899" spans="1:36">
      <c r="A899" s="7"/>
      <c r="X899" s="6" t="str">
        <f>IF(Table1[[#This Row],[WHRS NET KW TOTAL]]&lt;&gt;0,Table1[[#This Row],[WHRS NET KW TOTAL]]-U898,"")</f>
        <v/>
      </c>
      <c r="Y899" s="6" t="b">
        <f>IF(AND(Table1[[#This Row],[WHRS KW RECOVERED PER DAY]]&lt;&gt;0,Table1[[#This Row],[WHRS RH]]&lt;&gt;0),ROUND(Table1[[#This Row],[WHRS KW RECOVERED PER DAY]]/Table1[[#This Row],[WHRS RH]],1))</f>
        <v>0</v>
      </c>
      <c r="Z899" s="8"/>
      <c r="AA899" s="1"/>
      <c r="AB899" s="1"/>
      <c r="AC899" s="1"/>
      <c r="AD899" s="1"/>
      <c r="AE899" s="1"/>
      <c r="AF899" s="1"/>
      <c r="AG899" s="1" t="str">
        <f t="shared" si="36"/>
        <v/>
      </c>
      <c r="AH899" s="1" t="str">
        <f t="shared" ref="AH899:AH962" si="39">IF(W899="","", W899 * (AG899 / 1000000) * AH899)</f>
        <v/>
      </c>
      <c r="AI899" s="1" t="str">
        <f>IF(AH899="", "", SUM($AH$4:AH899))</f>
        <v/>
      </c>
      <c r="AJ899" s="9"/>
    </row>
    <row r="900" spans="1:36">
      <c r="A900" s="7"/>
      <c r="X900" s="6" t="str">
        <f>IF(Table1[[#This Row],[WHRS NET KW TOTAL]]&lt;&gt;0,Table1[[#This Row],[WHRS NET KW TOTAL]]-U899,"")</f>
        <v/>
      </c>
      <c r="Y900" s="6" t="b">
        <f>IF(AND(Table1[[#This Row],[WHRS KW RECOVERED PER DAY]]&lt;&gt;0,Table1[[#This Row],[WHRS RH]]&lt;&gt;0),ROUND(Table1[[#This Row],[WHRS KW RECOVERED PER DAY]]/Table1[[#This Row],[WHRS RH]],1))</f>
        <v>0</v>
      </c>
      <c r="Z900" s="8"/>
      <c r="AA900" s="1"/>
      <c r="AB900" s="1"/>
      <c r="AC900" s="1"/>
      <c r="AD900" s="1"/>
      <c r="AE900" s="1"/>
      <c r="AF900" s="1"/>
      <c r="AG900" s="1" t="str">
        <f t="shared" si="36"/>
        <v/>
      </c>
      <c r="AH900" s="1" t="str">
        <f t="shared" si="39"/>
        <v/>
      </c>
      <c r="AI900" s="1" t="str">
        <f>IF(AH900="", "", SUM($AH$4:AH900))</f>
        <v/>
      </c>
      <c r="AJ900" s="9"/>
    </row>
    <row r="901" spans="1:36">
      <c r="A901" s="7"/>
      <c r="X901" s="6" t="str">
        <f>IF(Table1[[#This Row],[WHRS NET KW TOTAL]]&lt;&gt;0,Table1[[#This Row],[WHRS NET KW TOTAL]]-U900,"")</f>
        <v/>
      </c>
      <c r="Y901" s="6" t="b">
        <f>IF(AND(Table1[[#This Row],[WHRS KW RECOVERED PER DAY]]&lt;&gt;0,Table1[[#This Row],[WHRS RH]]&lt;&gt;0),ROUND(Table1[[#This Row],[WHRS KW RECOVERED PER DAY]]/Table1[[#This Row],[WHRS RH]],1))</f>
        <v>0</v>
      </c>
      <c r="Z901" s="8"/>
      <c r="AA901" s="1"/>
      <c r="AB901" s="1"/>
      <c r="AC901" s="1"/>
      <c r="AD901" s="1"/>
      <c r="AE901" s="1"/>
      <c r="AF901" s="1"/>
      <c r="AG901" s="1" t="str">
        <f t="shared" ref="AG901:AG964" si="40">IF(C901="", "", _xlfn.IFS(C901="LNG", 1345, C901="LSMGO", 1280, C901="VLSFO", 820, C901="HSFO", 635, TRUE, ""))</f>
        <v/>
      </c>
      <c r="AH901" s="1" t="str">
        <f t="shared" si="39"/>
        <v/>
      </c>
      <c r="AI901" s="1" t="str">
        <f>IF(AH901="", "", SUM($AH$4:AH901))</f>
        <v/>
      </c>
      <c r="AJ901" s="9"/>
    </row>
    <row r="902" spans="1:36">
      <c r="A902" s="7"/>
      <c r="X902" s="6" t="str">
        <f>IF(Table1[[#This Row],[WHRS NET KW TOTAL]]&lt;&gt;0,Table1[[#This Row],[WHRS NET KW TOTAL]]-U901,"")</f>
        <v/>
      </c>
      <c r="Y902" s="6" t="b">
        <f>IF(AND(Table1[[#This Row],[WHRS KW RECOVERED PER DAY]]&lt;&gt;0,Table1[[#This Row],[WHRS RH]]&lt;&gt;0),ROUND(Table1[[#This Row],[WHRS KW RECOVERED PER DAY]]/Table1[[#This Row],[WHRS RH]],1))</f>
        <v>0</v>
      </c>
      <c r="Z902" s="8"/>
      <c r="AA902" s="1"/>
      <c r="AB902" s="1"/>
      <c r="AC902" s="1"/>
      <c r="AD902" s="1"/>
      <c r="AE902" s="1"/>
      <c r="AF902" s="1"/>
      <c r="AG902" s="1" t="str">
        <f t="shared" si="40"/>
        <v/>
      </c>
      <c r="AH902" s="1" t="str">
        <f t="shared" si="39"/>
        <v/>
      </c>
      <c r="AI902" s="1" t="str">
        <f>IF(AH902="", "", SUM($AH$4:AH902))</f>
        <v/>
      </c>
      <c r="AJ902" s="9"/>
    </row>
    <row r="903" spans="1:36">
      <c r="A903" s="7"/>
      <c r="X903" s="6" t="str">
        <f>IF(Table1[[#This Row],[WHRS NET KW TOTAL]]&lt;&gt;0,Table1[[#This Row],[WHRS NET KW TOTAL]]-U902,"")</f>
        <v/>
      </c>
      <c r="Y903" s="6" t="b">
        <f>IF(AND(Table1[[#This Row],[WHRS KW RECOVERED PER DAY]]&lt;&gt;0,Table1[[#This Row],[WHRS RH]]&lt;&gt;0),ROUND(Table1[[#This Row],[WHRS KW RECOVERED PER DAY]]/Table1[[#This Row],[WHRS RH]],1))</f>
        <v>0</v>
      </c>
      <c r="Z903" s="8"/>
      <c r="AA903" s="1"/>
      <c r="AB903" s="1"/>
      <c r="AC903" s="1"/>
      <c r="AD903" s="1"/>
      <c r="AE903" s="1"/>
      <c r="AF903" s="1"/>
      <c r="AG903" s="1" t="str">
        <f t="shared" si="40"/>
        <v/>
      </c>
      <c r="AH903" s="1" t="str">
        <f t="shared" si="39"/>
        <v/>
      </c>
      <c r="AI903" s="1" t="str">
        <f>IF(AH903="", "", SUM($AH$4:AH903))</f>
        <v/>
      </c>
      <c r="AJ903" s="9"/>
    </row>
    <row r="904" spans="1:36">
      <c r="A904" s="7"/>
      <c r="X904" s="6" t="str">
        <f>IF(Table1[[#This Row],[WHRS NET KW TOTAL]]&lt;&gt;0,Table1[[#This Row],[WHRS NET KW TOTAL]]-U903,"")</f>
        <v/>
      </c>
      <c r="Y904" s="6" t="b">
        <f>IF(AND(Table1[[#This Row],[WHRS KW RECOVERED PER DAY]]&lt;&gt;0,Table1[[#This Row],[WHRS RH]]&lt;&gt;0),ROUND(Table1[[#This Row],[WHRS KW RECOVERED PER DAY]]/Table1[[#This Row],[WHRS RH]],1))</f>
        <v>0</v>
      </c>
      <c r="Z904" s="8"/>
      <c r="AA904" s="1"/>
      <c r="AB904" s="1"/>
      <c r="AC904" s="1"/>
      <c r="AD904" s="1"/>
      <c r="AE904" s="1"/>
      <c r="AF904" s="1"/>
      <c r="AG904" s="1" t="str">
        <f t="shared" si="40"/>
        <v/>
      </c>
      <c r="AH904" s="1" t="str">
        <f t="shared" si="39"/>
        <v/>
      </c>
      <c r="AI904" s="1" t="str">
        <f>IF(AH904="", "", SUM($AH$4:AH904))</f>
        <v/>
      </c>
      <c r="AJ904" s="9"/>
    </row>
    <row r="905" spans="1:36">
      <c r="A905" s="7"/>
      <c r="X905" s="6" t="str">
        <f>IF(Table1[[#This Row],[WHRS NET KW TOTAL]]&lt;&gt;0,Table1[[#This Row],[WHRS NET KW TOTAL]]-U904,"")</f>
        <v/>
      </c>
      <c r="Y905" s="6" t="b">
        <f>IF(AND(Table1[[#This Row],[WHRS KW RECOVERED PER DAY]]&lt;&gt;0,Table1[[#This Row],[WHRS RH]]&lt;&gt;0),ROUND(Table1[[#This Row],[WHRS KW RECOVERED PER DAY]]/Table1[[#This Row],[WHRS RH]],1))</f>
        <v>0</v>
      </c>
      <c r="Z905" s="8"/>
      <c r="AA905" s="1"/>
      <c r="AB905" s="1"/>
      <c r="AC905" s="1"/>
      <c r="AD905" s="1"/>
      <c r="AE905" s="1"/>
      <c r="AF905" s="1"/>
      <c r="AG905" s="1" t="str">
        <f t="shared" si="40"/>
        <v/>
      </c>
      <c r="AH905" s="1" t="str">
        <f t="shared" si="39"/>
        <v/>
      </c>
      <c r="AI905" s="1" t="str">
        <f>IF(AH905="", "", SUM($AH$4:AH905))</f>
        <v/>
      </c>
      <c r="AJ905" s="9"/>
    </row>
    <row r="906" spans="1:36">
      <c r="A906" s="7"/>
      <c r="X906" s="6" t="str">
        <f>IF(Table1[[#This Row],[WHRS NET KW TOTAL]]&lt;&gt;0,Table1[[#This Row],[WHRS NET KW TOTAL]]-U905,"")</f>
        <v/>
      </c>
      <c r="Y906" s="6" t="b">
        <f>IF(AND(Table1[[#This Row],[WHRS KW RECOVERED PER DAY]]&lt;&gt;0,Table1[[#This Row],[WHRS RH]]&lt;&gt;0),ROUND(Table1[[#This Row],[WHRS KW RECOVERED PER DAY]]/Table1[[#This Row],[WHRS RH]],1))</f>
        <v>0</v>
      </c>
      <c r="Z906" s="8"/>
      <c r="AA906" s="1"/>
      <c r="AB906" s="1"/>
      <c r="AC906" s="1"/>
      <c r="AD906" s="1"/>
      <c r="AE906" s="1"/>
      <c r="AF906" s="1"/>
      <c r="AG906" s="1" t="str">
        <f t="shared" si="40"/>
        <v/>
      </c>
      <c r="AH906" s="1" t="str">
        <f t="shared" si="39"/>
        <v/>
      </c>
      <c r="AI906" s="1" t="str">
        <f>IF(AH906="", "", SUM($AH$4:AH906))</f>
        <v/>
      </c>
      <c r="AJ906" s="9"/>
    </row>
    <row r="907" spans="1:36">
      <c r="A907" s="7"/>
      <c r="X907" s="6" t="str">
        <f>IF(Table1[[#This Row],[WHRS NET KW TOTAL]]&lt;&gt;0,Table1[[#This Row],[WHRS NET KW TOTAL]]-U906,"")</f>
        <v/>
      </c>
      <c r="Y907" s="6" t="b">
        <f>IF(AND(Table1[[#This Row],[WHRS KW RECOVERED PER DAY]]&lt;&gt;0,Table1[[#This Row],[WHRS RH]]&lt;&gt;0),ROUND(Table1[[#This Row],[WHRS KW RECOVERED PER DAY]]/Table1[[#This Row],[WHRS RH]],1))</f>
        <v>0</v>
      </c>
      <c r="Z907" s="8"/>
      <c r="AA907" s="1"/>
      <c r="AB907" s="1"/>
      <c r="AC907" s="1"/>
      <c r="AD907" s="1"/>
      <c r="AE907" s="1"/>
      <c r="AF907" s="1"/>
      <c r="AG907" s="1" t="str">
        <f t="shared" si="40"/>
        <v/>
      </c>
      <c r="AH907" s="1" t="str">
        <f t="shared" si="39"/>
        <v/>
      </c>
      <c r="AI907" s="1" t="str">
        <f>IF(AH907="", "", SUM($AH$4:AH907))</f>
        <v/>
      </c>
      <c r="AJ907" s="9"/>
    </row>
    <row r="908" spans="1:36">
      <c r="A908" s="7"/>
      <c r="X908" s="6" t="str">
        <f>IF(Table1[[#This Row],[WHRS NET KW TOTAL]]&lt;&gt;0,Table1[[#This Row],[WHRS NET KW TOTAL]]-U907,"")</f>
        <v/>
      </c>
      <c r="Y908" s="6" t="b">
        <f>IF(AND(Table1[[#This Row],[WHRS KW RECOVERED PER DAY]]&lt;&gt;0,Table1[[#This Row],[WHRS RH]]&lt;&gt;0),ROUND(Table1[[#This Row],[WHRS KW RECOVERED PER DAY]]/Table1[[#This Row],[WHRS RH]],1))</f>
        <v>0</v>
      </c>
      <c r="Z908" s="8"/>
      <c r="AA908" s="1"/>
      <c r="AB908" s="1"/>
      <c r="AC908" s="1"/>
      <c r="AD908" s="1"/>
      <c r="AE908" s="1"/>
      <c r="AF908" s="1"/>
      <c r="AG908" s="1" t="str">
        <f t="shared" si="40"/>
        <v/>
      </c>
      <c r="AH908" s="1" t="str">
        <f t="shared" si="39"/>
        <v/>
      </c>
      <c r="AI908" s="1" t="str">
        <f>IF(AH908="", "", SUM($AH$4:AH908))</f>
        <v/>
      </c>
      <c r="AJ908" s="9"/>
    </row>
    <row r="909" spans="1:36">
      <c r="A909" s="7"/>
      <c r="X909" s="6" t="str">
        <f>IF(Table1[[#This Row],[WHRS NET KW TOTAL]]&lt;&gt;0,Table1[[#This Row],[WHRS NET KW TOTAL]]-U908,"")</f>
        <v/>
      </c>
      <c r="Y909" s="6" t="b">
        <f>IF(AND(Table1[[#This Row],[WHRS KW RECOVERED PER DAY]]&lt;&gt;0,Table1[[#This Row],[WHRS RH]]&lt;&gt;0),ROUND(Table1[[#This Row],[WHRS KW RECOVERED PER DAY]]/Table1[[#This Row],[WHRS RH]],1))</f>
        <v>0</v>
      </c>
      <c r="Z909" s="8"/>
      <c r="AA909" s="1"/>
      <c r="AB909" s="1"/>
      <c r="AC909" s="1"/>
      <c r="AD909" s="1"/>
      <c r="AE909" s="1"/>
      <c r="AF909" s="1"/>
      <c r="AG909" s="1" t="str">
        <f t="shared" si="40"/>
        <v/>
      </c>
      <c r="AH909" s="1" t="str">
        <f t="shared" si="39"/>
        <v/>
      </c>
      <c r="AI909" s="1" t="str">
        <f>IF(AH909="", "", SUM($AH$4:AH909))</f>
        <v/>
      </c>
      <c r="AJ909" s="9"/>
    </row>
    <row r="910" spans="1:36">
      <c r="A910" s="7"/>
      <c r="X910" s="6" t="str">
        <f>IF(Table1[[#This Row],[WHRS NET KW TOTAL]]&lt;&gt;0,Table1[[#This Row],[WHRS NET KW TOTAL]]-U909,"")</f>
        <v/>
      </c>
      <c r="Y910" s="6" t="b">
        <f>IF(AND(Table1[[#This Row],[WHRS KW RECOVERED PER DAY]]&lt;&gt;0,Table1[[#This Row],[WHRS RH]]&lt;&gt;0),ROUND(Table1[[#This Row],[WHRS KW RECOVERED PER DAY]]/Table1[[#This Row],[WHRS RH]],1))</f>
        <v>0</v>
      </c>
      <c r="Z910" s="8"/>
      <c r="AA910" s="1"/>
      <c r="AB910" s="1"/>
      <c r="AC910" s="1"/>
      <c r="AD910" s="1"/>
      <c r="AE910" s="1"/>
      <c r="AF910" s="1"/>
      <c r="AG910" s="1" t="str">
        <f t="shared" si="40"/>
        <v/>
      </c>
      <c r="AH910" s="1" t="str">
        <f t="shared" si="39"/>
        <v/>
      </c>
      <c r="AI910" s="1" t="str">
        <f>IF(AH910="", "", SUM($AH$4:AH910))</f>
        <v/>
      </c>
      <c r="AJ910" s="9"/>
    </row>
    <row r="911" spans="1:36">
      <c r="A911" s="7"/>
      <c r="X911" s="6" t="str">
        <f>IF(Table1[[#This Row],[WHRS NET KW TOTAL]]&lt;&gt;0,Table1[[#This Row],[WHRS NET KW TOTAL]]-U910,"")</f>
        <v/>
      </c>
      <c r="Y911" s="6" t="b">
        <f>IF(AND(Table1[[#This Row],[WHRS KW RECOVERED PER DAY]]&lt;&gt;0,Table1[[#This Row],[WHRS RH]]&lt;&gt;0),ROUND(Table1[[#This Row],[WHRS KW RECOVERED PER DAY]]/Table1[[#This Row],[WHRS RH]],1))</f>
        <v>0</v>
      </c>
      <c r="Z911" s="8"/>
      <c r="AA911" s="1"/>
      <c r="AB911" s="1"/>
      <c r="AC911" s="1"/>
      <c r="AD911" s="1"/>
      <c r="AE911" s="1"/>
      <c r="AF911" s="1"/>
      <c r="AG911" s="1" t="str">
        <f t="shared" si="40"/>
        <v/>
      </c>
      <c r="AH911" s="1" t="str">
        <f t="shared" si="39"/>
        <v/>
      </c>
      <c r="AI911" s="1" t="str">
        <f>IF(AH911="", "", SUM($AH$4:AH911))</f>
        <v/>
      </c>
      <c r="AJ911" s="9"/>
    </row>
    <row r="912" spans="1:36">
      <c r="A912" s="7"/>
      <c r="X912" s="6" t="str">
        <f>IF(Table1[[#This Row],[WHRS NET KW TOTAL]]&lt;&gt;0,Table1[[#This Row],[WHRS NET KW TOTAL]]-U911,"")</f>
        <v/>
      </c>
      <c r="Y912" s="6" t="b">
        <f>IF(AND(Table1[[#This Row],[WHRS KW RECOVERED PER DAY]]&lt;&gt;0,Table1[[#This Row],[WHRS RH]]&lt;&gt;0),ROUND(Table1[[#This Row],[WHRS KW RECOVERED PER DAY]]/Table1[[#This Row],[WHRS RH]],1))</f>
        <v>0</v>
      </c>
      <c r="Z912" s="8"/>
      <c r="AA912" s="1"/>
      <c r="AB912" s="1"/>
      <c r="AC912" s="1"/>
      <c r="AD912" s="1"/>
      <c r="AE912" s="1"/>
      <c r="AF912" s="1"/>
      <c r="AG912" s="1" t="str">
        <f t="shared" si="40"/>
        <v/>
      </c>
      <c r="AH912" s="1" t="str">
        <f t="shared" si="39"/>
        <v/>
      </c>
      <c r="AI912" s="1" t="str">
        <f>IF(AH912="", "", SUM($AH$4:AH912))</f>
        <v/>
      </c>
      <c r="AJ912" s="9"/>
    </row>
    <row r="913" spans="1:36">
      <c r="A913" s="7"/>
      <c r="X913" s="6" t="str">
        <f>IF(Table1[[#This Row],[WHRS NET KW TOTAL]]&lt;&gt;0,Table1[[#This Row],[WHRS NET KW TOTAL]]-U912,"")</f>
        <v/>
      </c>
      <c r="Y913" s="6" t="b">
        <f>IF(AND(Table1[[#This Row],[WHRS KW RECOVERED PER DAY]]&lt;&gt;0,Table1[[#This Row],[WHRS RH]]&lt;&gt;0),ROUND(Table1[[#This Row],[WHRS KW RECOVERED PER DAY]]/Table1[[#This Row],[WHRS RH]],1))</f>
        <v>0</v>
      </c>
      <c r="Z913" s="8"/>
      <c r="AA913" s="1"/>
      <c r="AB913" s="1"/>
      <c r="AC913" s="1"/>
      <c r="AD913" s="1"/>
      <c r="AE913" s="1"/>
      <c r="AF913" s="1"/>
      <c r="AG913" s="1" t="str">
        <f t="shared" si="40"/>
        <v/>
      </c>
      <c r="AH913" s="1" t="str">
        <f t="shared" si="39"/>
        <v/>
      </c>
      <c r="AI913" s="1" t="str">
        <f>IF(AH913="", "", SUM($AH$4:AH913))</f>
        <v/>
      </c>
      <c r="AJ913" s="9"/>
    </row>
    <row r="914" spans="1:36">
      <c r="A914" s="7"/>
      <c r="X914" s="6" t="str">
        <f>IF(Table1[[#This Row],[WHRS NET KW TOTAL]]&lt;&gt;0,Table1[[#This Row],[WHRS NET KW TOTAL]]-U913,"")</f>
        <v/>
      </c>
      <c r="Y914" s="6" t="b">
        <f>IF(AND(Table1[[#This Row],[WHRS KW RECOVERED PER DAY]]&lt;&gt;0,Table1[[#This Row],[WHRS RH]]&lt;&gt;0),ROUND(Table1[[#This Row],[WHRS KW RECOVERED PER DAY]]/Table1[[#This Row],[WHRS RH]],1))</f>
        <v>0</v>
      </c>
      <c r="Z914" s="8"/>
      <c r="AA914" s="1"/>
      <c r="AB914" s="1"/>
      <c r="AC914" s="1"/>
      <c r="AD914" s="1"/>
      <c r="AE914" s="1"/>
      <c r="AF914" s="1"/>
      <c r="AG914" s="1" t="str">
        <f t="shared" si="40"/>
        <v/>
      </c>
      <c r="AH914" s="1" t="str">
        <f t="shared" si="39"/>
        <v/>
      </c>
      <c r="AI914" s="1" t="str">
        <f>IF(AH914="", "", SUM($AH$4:AH914))</f>
        <v/>
      </c>
      <c r="AJ914" s="9"/>
    </row>
    <row r="915" spans="1:36">
      <c r="A915" s="7"/>
      <c r="X915" s="6" t="str">
        <f>IF(Table1[[#This Row],[WHRS NET KW TOTAL]]&lt;&gt;0,Table1[[#This Row],[WHRS NET KW TOTAL]]-U914,"")</f>
        <v/>
      </c>
      <c r="Y915" s="6" t="b">
        <f>IF(AND(Table1[[#This Row],[WHRS KW RECOVERED PER DAY]]&lt;&gt;0,Table1[[#This Row],[WHRS RH]]&lt;&gt;0),ROUND(Table1[[#This Row],[WHRS KW RECOVERED PER DAY]]/Table1[[#This Row],[WHRS RH]],1))</f>
        <v>0</v>
      </c>
      <c r="Z915" s="8"/>
      <c r="AA915" s="1"/>
      <c r="AB915" s="1"/>
      <c r="AC915" s="1"/>
      <c r="AD915" s="1"/>
      <c r="AE915" s="1"/>
      <c r="AF915" s="1"/>
      <c r="AG915" s="1" t="str">
        <f t="shared" si="40"/>
        <v/>
      </c>
      <c r="AH915" s="1" t="str">
        <f t="shared" si="39"/>
        <v/>
      </c>
      <c r="AI915" s="1" t="str">
        <f>IF(AH915="", "", SUM($AH$4:AH915))</f>
        <v/>
      </c>
      <c r="AJ915" s="9"/>
    </row>
    <row r="916" spans="1:36">
      <c r="A916" s="7"/>
      <c r="X916" s="6" t="str">
        <f>IF(Table1[[#This Row],[WHRS NET KW TOTAL]]&lt;&gt;0,Table1[[#This Row],[WHRS NET KW TOTAL]]-U915,"")</f>
        <v/>
      </c>
      <c r="Y916" s="6" t="b">
        <f>IF(AND(Table1[[#This Row],[WHRS KW RECOVERED PER DAY]]&lt;&gt;0,Table1[[#This Row],[WHRS RH]]&lt;&gt;0),ROUND(Table1[[#This Row],[WHRS KW RECOVERED PER DAY]]/Table1[[#This Row],[WHRS RH]],1))</f>
        <v>0</v>
      </c>
      <c r="Z916" s="8"/>
      <c r="AA916" s="1"/>
      <c r="AB916" s="1"/>
      <c r="AC916" s="1"/>
      <c r="AD916" s="1"/>
      <c r="AE916" s="1"/>
      <c r="AF916" s="1"/>
      <c r="AG916" s="1" t="str">
        <f t="shared" si="40"/>
        <v/>
      </c>
      <c r="AH916" s="1" t="str">
        <f t="shared" si="39"/>
        <v/>
      </c>
      <c r="AI916" s="1" t="str">
        <f>IF(AH916="", "", SUM($AH$4:AH916))</f>
        <v/>
      </c>
      <c r="AJ916" s="9"/>
    </row>
    <row r="917" spans="1:36">
      <c r="A917" s="7"/>
      <c r="X917" s="6" t="str">
        <f>IF(Table1[[#This Row],[WHRS NET KW TOTAL]]&lt;&gt;0,Table1[[#This Row],[WHRS NET KW TOTAL]]-U916,"")</f>
        <v/>
      </c>
      <c r="Y917" s="6" t="b">
        <f>IF(AND(Table1[[#This Row],[WHRS KW RECOVERED PER DAY]]&lt;&gt;0,Table1[[#This Row],[WHRS RH]]&lt;&gt;0),ROUND(Table1[[#This Row],[WHRS KW RECOVERED PER DAY]]/Table1[[#This Row],[WHRS RH]],1))</f>
        <v>0</v>
      </c>
      <c r="Z917" s="8"/>
      <c r="AA917" s="1"/>
      <c r="AB917" s="1"/>
      <c r="AC917" s="1"/>
      <c r="AD917" s="1"/>
      <c r="AE917" s="1"/>
      <c r="AF917" s="1"/>
      <c r="AG917" s="1" t="str">
        <f t="shared" si="40"/>
        <v/>
      </c>
      <c r="AH917" s="1" t="str">
        <f t="shared" si="39"/>
        <v/>
      </c>
      <c r="AI917" s="1" t="str">
        <f>IF(AH917="", "", SUM($AH$4:AH917))</f>
        <v/>
      </c>
      <c r="AJ917" s="9"/>
    </row>
    <row r="918" spans="1:36">
      <c r="A918" s="7"/>
      <c r="X918" s="6" t="str">
        <f>IF(Table1[[#This Row],[WHRS NET KW TOTAL]]&lt;&gt;0,Table1[[#This Row],[WHRS NET KW TOTAL]]-U917,"")</f>
        <v/>
      </c>
      <c r="Y918" s="6" t="b">
        <f>IF(AND(Table1[[#This Row],[WHRS KW RECOVERED PER DAY]]&lt;&gt;0,Table1[[#This Row],[WHRS RH]]&lt;&gt;0),ROUND(Table1[[#This Row],[WHRS KW RECOVERED PER DAY]]/Table1[[#This Row],[WHRS RH]],1))</f>
        <v>0</v>
      </c>
      <c r="Z918" s="8"/>
      <c r="AA918" s="1"/>
      <c r="AB918" s="1"/>
      <c r="AC918" s="1"/>
      <c r="AD918" s="1"/>
      <c r="AE918" s="1"/>
      <c r="AF918" s="1"/>
      <c r="AG918" s="1" t="str">
        <f t="shared" si="40"/>
        <v/>
      </c>
      <c r="AH918" s="1" t="str">
        <f t="shared" si="39"/>
        <v/>
      </c>
      <c r="AI918" s="1" t="str">
        <f>IF(AH918="", "", SUM($AH$4:AH918))</f>
        <v/>
      </c>
      <c r="AJ918" s="9"/>
    </row>
    <row r="919" spans="1:36">
      <c r="A919" s="7"/>
      <c r="X919" s="6" t="str">
        <f>IF(Table1[[#This Row],[WHRS NET KW TOTAL]]&lt;&gt;0,Table1[[#This Row],[WHRS NET KW TOTAL]]-U918,"")</f>
        <v/>
      </c>
      <c r="Y919" s="6" t="b">
        <f>IF(AND(Table1[[#This Row],[WHRS KW RECOVERED PER DAY]]&lt;&gt;0,Table1[[#This Row],[WHRS RH]]&lt;&gt;0),ROUND(Table1[[#This Row],[WHRS KW RECOVERED PER DAY]]/Table1[[#This Row],[WHRS RH]],1))</f>
        <v>0</v>
      </c>
      <c r="Z919" s="8"/>
      <c r="AA919" s="1"/>
      <c r="AB919" s="1"/>
      <c r="AC919" s="1"/>
      <c r="AD919" s="1"/>
      <c r="AE919" s="1"/>
      <c r="AF919" s="1"/>
      <c r="AG919" s="1" t="str">
        <f t="shared" si="40"/>
        <v/>
      </c>
      <c r="AH919" s="1" t="str">
        <f t="shared" si="39"/>
        <v/>
      </c>
      <c r="AI919" s="1" t="str">
        <f>IF(AH919="", "", SUM($AH$4:AH919))</f>
        <v/>
      </c>
      <c r="AJ919" s="9"/>
    </row>
    <row r="920" spans="1:36">
      <c r="A920" s="7"/>
      <c r="X920" s="6" t="str">
        <f>IF(Table1[[#This Row],[WHRS NET KW TOTAL]]&lt;&gt;0,Table1[[#This Row],[WHRS NET KW TOTAL]]-U919,"")</f>
        <v/>
      </c>
      <c r="Y920" s="6" t="b">
        <f>IF(AND(Table1[[#This Row],[WHRS KW RECOVERED PER DAY]]&lt;&gt;0,Table1[[#This Row],[WHRS RH]]&lt;&gt;0),ROUND(Table1[[#This Row],[WHRS KW RECOVERED PER DAY]]/Table1[[#This Row],[WHRS RH]],1))</f>
        <v>0</v>
      </c>
      <c r="Z920" s="8"/>
      <c r="AA920" s="1"/>
      <c r="AB920" s="1"/>
      <c r="AC920" s="1"/>
      <c r="AD920" s="1"/>
      <c r="AE920" s="1"/>
      <c r="AF920" s="1"/>
      <c r="AG920" s="1" t="str">
        <f t="shared" si="40"/>
        <v/>
      </c>
      <c r="AH920" s="1" t="str">
        <f t="shared" si="39"/>
        <v/>
      </c>
      <c r="AI920" s="1" t="str">
        <f>IF(AH920="", "", SUM($AH$4:AH920))</f>
        <v/>
      </c>
      <c r="AJ920" s="9"/>
    </row>
    <row r="921" spans="1:36">
      <c r="A921" s="7"/>
      <c r="X921" s="6" t="str">
        <f>IF(Table1[[#This Row],[WHRS NET KW TOTAL]]&lt;&gt;0,Table1[[#This Row],[WHRS NET KW TOTAL]]-U920,"")</f>
        <v/>
      </c>
      <c r="Y921" s="6" t="b">
        <f>IF(AND(Table1[[#This Row],[WHRS KW RECOVERED PER DAY]]&lt;&gt;0,Table1[[#This Row],[WHRS RH]]&lt;&gt;0),ROUND(Table1[[#This Row],[WHRS KW RECOVERED PER DAY]]/Table1[[#This Row],[WHRS RH]],1))</f>
        <v>0</v>
      </c>
      <c r="Z921" s="8"/>
      <c r="AA921" s="1"/>
      <c r="AB921" s="1"/>
      <c r="AC921" s="1"/>
      <c r="AD921" s="1"/>
      <c r="AE921" s="1"/>
      <c r="AF921" s="1"/>
      <c r="AG921" s="1" t="str">
        <f t="shared" si="40"/>
        <v/>
      </c>
      <c r="AH921" s="1" t="str">
        <f t="shared" si="39"/>
        <v/>
      </c>
      <c r="AI921" s="1" t="str">
        <f>IF(AH921="", "", SUM($AH$4:AH921))</f>
        <v/>
      </c>
      <c r="AJ921" s="9"/>
    </row>
    <row r="922" spans="1:36">
      <c r="A922" s="7"/>
      <c r="X922" s="6" t="str">
        <f>IF(Table1[[#This Row],[WHRS NET KW TOTAL]]&lt;&gt;0,Table1[[#This Row],[WHRS NET KW TOTAL]]-U921,"")</f>
        <v/>
      </c>
      <c r="Y922" s="6" t="b">
        <f>IF(AND(Table1[[#This Row],[WHRS KW RECOVERED PER DAY]]&lt;&gt;0,Table1[[#This Row],[WHRS RH]]&lt;&gt;0),ROUND(Table1[[#This Row],[WHRS KW RECOVERED PER DAY]]/Table1[[#This Row],[WHRS RH]],1))</f>
        <v>0</v>
      </c>
      <c r="Z922" s="8"/>
      <c r="AA922" s="1"/>
      <c r="AB922" s="1"/>
      <c r="AC922" s="1"/>
      <c r="AD922" s="1"/>
      <c r="AE922" s="1"/>
      <c r="AF922" s="1"/>
      <c r="AG922" s="1" t="str">
        <f t="shared" si="40"/>
        <v/>
      </c>
      <c r="AH922" s="1" t="str">
        <f t="shared" si="39"/>
        <v/>
      </c>
      <c r="AI922" s="1" t="str">
        <f>IF(AH922="", "", SUM($AH$4:AH922))</f>
        <v/>
      </c>
      <c r="AJ922" s="9"/>
    </row>
    <row r="923" spans="1:36">
      <c r="A923" s="7"/>
      <c r="X923" s="6" t="str">
        <f>IF(Table1[[#This Row],[WHRS NET KW TOTAL]]&lt;&gt;0,Table1[[#This Row],[WHRS NET KW TOTAL]]-U922,"")</f>
        <v/>
      </c>
      <c r="Y923" s="6" t="b">
        <f>IF(AND(Table1[[#This Row],[WHRS KW RECOVERED PER DAY]]&lt;&gt;0,Table1[[#This Row],[WHRS RH]]&lt;&gt;0),ROUND(Table1[[#This Row],[WHRS KW RECOVERED PER DAY]]/Table1[[#This Row],[WHRS RH]],1))</f>
        <v>0</v>
      </c>
      <c r="Z923" s="8"/>
      <c r="AA923" s="1"/>
      <c r="AB923" s="1"/>
      <c r="AC923" s="1"/>
      <c r="AD923" s="1"/>
      <c r="AE923" s="1"/>
      <c r="AF923" s="1"/>
      <c r="AG923" s="1" t="str">
        <f t="shared" si="40"/>
        <v/>
      </c>
      <c r="AH923" s="1" t="str">
        <f t="shared" si="39"/>
        <v/>
      </c>
      <c r="AI923" s="1" t="str">
        <f>IF(AH923="", "", SUM($AH$4:AH923))</f>
        <v/>
      </c>
      <c r="AJ923" s="9"/>
    </row>
    <row r="924" spans="1:36">
      <c r="A924" s="7"/>
      <c r="X924" s="6" t="str">
        <f>IF(Table1[[#This Row],[WHRS NET KW TOTAL]]&lt;&gt;0,Table1[[#This Row],[WHRS NET KW TOTAL]]-U923,"")</f>
        <v/>
      </c>
      <c r="Y924" s="6" t="b">
        <f>IF(AND(Table1[[#This Row],[WHRS KW RECOVERED PER DAY]]&lt;&gt;0,Table1[[#This Row],[WHRS RH]]&lt;&gt;0),ROUND(Table1[[#This Row],[WHRS KW RECOVERED PER DAY]]/Table1[[#This Row],[WHRS RH]],1))</f>
        <v>0</v>
      </c>
      <c r="Z924" s="8"/>
      <c r="AA924" s="1"/>
      <c r="AB924" s="1"/>
      <c r="AC924" s="1"/>
      <c r="AD924" s="1"/>
      <c r="AE924" s="1"/>
      <c r="AF924" s="1"/>
      <c r="AG924" s="1" t="str">
        <f t="shared" si="40"/>
        <v/>
      </c>
      <c r="AH924" s="1" t="str">
        <f t="shared" si="39"/>
        <v/>
      </c>
      <c r="AI924" s="1" t="str">
        <f>IF(AH924="", "", SUM($AH$4:AH924))</f>
        <v/>
      </c>
      <c r="AJ924" s="9"/>
    </row>
    <row r="925" spans="1:36">
      <c r="A925" s="7"/>
      <c r="X925" s="6" t="str">
        <f>IF(Table1[[#This Row],[WHRS NET KW TOTAL]]&lt;&gt;0,Table1[[#This Row],[WHRS NET KW TOTAL]]-U924,"")</f>
        <v/>
      </c>
      <c r="Y925" s="6" t="b">
        <f>IF(AND(Table1[[#This Row],[WHRS KW RECOVERED PER DAY]]&lt;&gt;0,Table1[[#This Row],[WHRS RH]]&lt;&gt;0),ROUND(Table1[[#This Row],[WHRS KW RECOVERED PER DAY]]/Table1[[#This Row],[WHRS RH]],1))</f>
        <v>0</v>
      </c>
      <c r="Z925" s="8"/>
      <c r="AA925" s="1"/>
      <c r="AB925" s="1"/>
      <c r="AC925" s="1"/>
      <c r="AD925" s="1"/>
      <c r="AE925" s="1"/>
      <c r="AF925" s="1"/>
      <c r="AG925" s="1" t="str">
        <f t="shared" si="40"/>
        <v/>
      </c>
      <c r="AH925" s="1" t="str">
        <f t="shared" si="39"/>
        <v/>
      </c>
      <c r="AI925" s="1" t="str">
        <f>IF(AH925="", "", SUM($AH$4:AH925))</f>
        <v/>
      </c>
      <c r="AJ925" s="9"/>
    </row>
    <row r="926" spans="1:36">
      <c r="A926" s="7"/>
      <c r="X926" s="6" t="str">
        <f>IF(Table1[[#This Row],[WHRS NET KW TOTAL]]&lt;&gt;0,Table1[[#This Row],[WHRS NET KW TOTAL]]-U925,"")</f>
        <v/>
      </c>
      <c r="Y926" s="6" t="b">
        <f>IF(AND(Table1[[#This Row],[WHRS KW RECOVERED PER DAY]]&lt;&gt;0,Table1[[#This Row],[WHRS RH]]&lt;&gt;0),ROUND(Table1[[#This Row],[WHRS KW RECOVERED PER DAY]]/Table1[[#This Row],[WHRS RH]],1))</f>
        <v>0</v>
      </c>
      <c r="Z926" s="8"/>
      <c r="AA926" s="1"/>
      <c r="AB926" s="1"/>
      <c r="AC926" s="1"/>
      <c r="AD926" s="1"/>
      <c r="AE926" s="1"/>
      <c r="AF926" s="1"/>
      <c r="AG926" s="1" t="str">
        <f t="shared" si="40"/>
        <v/>
      </c>
      <c r="AH926" s="1" t="str">
        <f t="shared" si="39"/>
        <v/>
      </c>
      <c r="AI926" s="1" t="str">
        <f>IF(AH926="", "", SUM($AH$4:AH926))</f>
        <v/>
      </c>
      <c r="AJ926" s="9"/>
    </row>
    <row r="927" spans="1:36">
      <c r="A927" s="7"/>
      <c r="X927" s="6" t="str">
        <f>IF(Table1[[#This Row],[WHRS NET KW TOTAL]]&lt;&gt;0,Table1[[#This Row],[WHRS NET KW TOTAL]]-U926,"")</f>
        <v/>
      </c>
      <c r="Y927" s="6" t="b">
        <f>IF(AND(Table1[[#This Row],[WHRS KW RECOVERED PER DAY]]&lt;&gt;0,Table1[[#This Row],[WHRS RH]]&lt;&gt;0),ROUND(Table1[[#This Row],[WHRS KW RECOVERED PER DAY]]/Table1[[#This Row],[WHRS RH]],1))</f>
        <v>0</v>
      </c>
      <c r="Z927" s="8"/>
      <c r="AA927" s="1"/>
      <c r="AB927" s="1"/>
      <c r="AC927" s="1"/>
      <c r="AD927" s="1"/>
      <c r="AE927" s="1"/>
      <c r="AF927" s="1"/>
      <c r="AG927" s="1" t="str">
        <f t="shared" si="40"/>
        <v/>
      </c>
      <c r="AH927" s="1" t="str">
        <f t="shared" si="39"/>
        <v/>
      </c>
      <c r="AI927" s="1" t="str">
        <f>IF(AH927="", "", SUM($AH$4:AH927))</f>
        <v/>
      </c>
      <c r="AJ927" s="9"/>
    </row>
    <row r="928" spans="1:36">
      <c r="A928" s="7"/>
      <c r="X928" s="6" t="str">
        <f>IF(Table1[[#This Row],[WHRS NET KW TOTAL]]&lt;&gt;0,Table1[[#This Row],[WHRS NET KW TOTAL]]-U927,"")</f>
        <v/>
      </c>
      <c r="Y928" s="6" t="b">
        <f>IF(AND(Table1[[#This Row],[WHRS KW RECOVERED PER DAY]]&lt;&gt;0,Table1[[#This Row],[WHRS RH]]&lt;&gt;0),ROUND(Table1[[#This Row],[WHRS KW RECOVERED PER DAY]]/Table1[[#This Row],[WHRS RH]],1))</f>
        <v>0</v>
      </c>
      <c r="Z928" s="8"/>
      <c r="AA928" s="1"/>
      <c r="AB928" s="1"/>
      <c r="AC928" s="1"/>
      <c r="AD928" s="1"/>
      <c r="AE928" s="1"/>
      <c r="AF928" s="1"/>
      <c r="AG928" s="1" t="str">
        <f t="shared" si="40"/>
        <v/>
      </c>
      <c r="AH928" s="1" t="str">
        <f t="shared" si="39"/>
        <v/>
      </c>
      <c r="AI928" s="1" t="str">
        <f>IF(AH928="", "", SUM($AH$4:AH928))</f>
        <v/>
      </c>
      <c r="AJ928" s="9"/>
    </row>
    <row r="929" spans="1:36">
      <c r="A929" s="7"/>
      <c r="X929" s="6" t="str">
        <f>IF(Table1[[#This Row],[WHRS NET KW TOTAL]]&lt;&gt;0,Table1[[#This Row],[WHRS NET KW TOTAL]]-U928,"")</f>
        <v/>
      </c>
      <c r="Y929" s="6" t="b">
        <f>IF(AND(Table1[[#This Row],[WHRS KW RECOVERED PER DAY]]&lt;&gt;0,Table1[[#This Row],[WHRS RH]]&lt;&gt;0),ROUND(Table1[[#This Row],[WHRS KW RECOVERED PER DAY]]/Table1[[#This Row],[WHRS RH]],1))</f>
        <v>0</v>
      </c>
      <c r="Z929" s="8"/>
      <c r="AA929" s="1"/>
      <c r="AB929" s="1"/>
      <c r="AC929" s="1"/>
      <c r="AD929" s="1"/>
      <c r="AE929" s="1"/>
      <c r="AF929" s="1"/>
      <c r="AG929" s="1" t="str">
        <f t="shared" si="40"/>
        <v/>
      </c>
      <c r="AH929" s="1" t="str">
        <f t="shared" si="39"/>
        <v/>
      </c>
      <c r="AI929" s="1" t="str">
        <f>IF(AH929="", "", SUM($AH$4:AH929))</f>
        <v/>
      </c>
      <c r="AJ929" s="9"/>
    </row>
    <row r="930" spans="1:36">
      <c r="A930" s="7"/>
      <c r="X930" s="6" t="str">
        <f>IF(Table1[[#This Row],[WHRS NET KW TOTAL]]&lt;&gt;0,Table1[[#This Row],[WHRS NET KW TOTAL]]-U929,"")</f>
        <v/>
      </c>
      <c r="Y930" s="6" t="b">
        <f>IF(AND(Table1[[#This Row],[WHRS KW RECOVERED PER DAY]]&lt;&gt;0,Table1[[#This Row],[WHRS RH]]&lt;&gt;0),ROUND(Table1[[#This Row],[WHRS KW RECOVERED PER DAY]]/Table1[[#This Row],[WHRS RH]],1))</f>
        <v>0</v>
      </c>
      <c r="Z930" s="8"/>
      <c r="AA930" s="1"/>
      <c r="AB930" s="1"/>
      <c r="AC930" s="1"/>
      <c r="AD930" s="1"/>
      <c r="AE930" s="1"/>
      <c r="AF930" s="1"/>
      <c r="AG930" s="1" t="str">
        <f t="shared" si="40"/>
        <v/>
      </c>
      <c r="AH930" s="1" t="str">
        <f t="shared" si="39"/>
        <v/>
      </c>
      <c r="AI930" s="1" t="str">
        <f>IF(AH930="", "", SUM($AH$4:AH930))</f>
        <v/>
      </c>
      <c r="AJ930" s="9"/>
    </row>
    <row r="931" spans="1:36">
      <c r="A931" s="7"/>
      <c r="X931" s="6" t="str">
        <f>IF(Table1[[#This Row],[WHRS NET KW TOTAL]]&lt;&gt;0,Table1[[#This Row],[WHRS NET KW TOTAL]]-U930,"")</f>
        <v/>
      </c>
      <c r="Y931" s="6" t="b">
        <f>IF(AND(Table1[[#This Row],[WHRS KW RECOVERED PER DAY]]&lt;&gt;0,Table1[[#This Row],[WHRS RH]]&lt;&gt;0),ROUND(Table1[[#This Row],[WHRS KW RECOVERED PER DAY]]/Table1[[#This Row],[WHRS RH]],1))</f>
        <v>0</v>
      </c>
      <c r="Z931" s="8"/>
      <c r="AA931" s="1"/>
      <c r="AB931" s="1"/>
      <c r="AC931" s="1"/>
      <c r="AD931" s="1"/>
      <c r="AE931" s="1"/>
      <c r="AF931" s="1"/>
      <c r="AG931" s="1" t="str">
        <f t="shared" si="40"/>
        <v/>
      </c>
      <c r="AH931" s="1" t="str">
        <f t="shared" si="39"/>
        <v/>
      </c>
      <c r="AI931" s="1" t="str">
        <f>IF(AH931="", "", SUM($AH$4:AH931))</f>
        <v/>
      </c>
      <c r="AJ931" s="9"/>
    </row>
    <row r="932" spans="1:36">
      <c r="A932" s="7"/>
      <c r="X932" s="6" t="str">
        <f>IF(Table1[[#This Row],[WHRS NET KW TOTAL]]&lt;&gt;0,Table1[[#This Row],[WHRS NET KW TOTAL]]-U931,"")</f>
        <v/>
      </c>
      <c r="Y932" s="6" t="b">
        <f>IF(AND(Table1[[#This Row],[WHRS KW RECOVERED PER DAY]]&lt;&gt;0,Table1[[#This Row],[WHRS RH]]&lt;&gt;0),ROUND(Table1[[#This Row],[WHRS KW RECOVERED PER DAY]]/Table1[[#This Row],[WHRS RH]],1))</f>
        <v>0</v>
      </c>
      <c r="Z932" s="8"/>
      <c r="AA932" s="1"/>
      <c r="AB932" s="1"/>
      <c r="AC932" s="1"/>
      <c r="AD932" s="1"/>
      <c r="AE932" s="1"/>
      <c r="AF932" s="1"/>
      <c r="AG932" s="1" t="str">
        <f t="shared" si="40"/>
        <v/>
      </c>
      <c r="AH932" s="1" t="str">
        <f t="shared" si="39"/>
        <v/>
      </c>
      <c r="AI932" s="1" t="str">
        <f>IF(AH932="", "", SUM($AH$4:AH932))</f>
        <v/>
      </c>
      <c r="AJ932" s="9"/>
    </row>
    <row r="933" spans="1:36">
      <c r="A933" s="7"/>
      <c r="X933" s="6" t="str">
        <f>IF(Table1[[#This Row],[WHRS NET KW TOTAL]]&lt;&gt;0,Table1[[#This Row],[WHRS NET KW TOTAL]]-U932,"")</f>
        <v/>
      </c>
      <c r="Y933" s="6" t="b">
        <f>IF(AND(Table1[[#This Row],[WHRS KW RECOVERED PER DAY]]&lt;&gt;0,Table1[[#This Row],[WHRS RH]]&lt;&gt;0),ROUND(Table1[[#This Row],[WHRS KW RECOVERED PER DAY]]/Table1[[#This Row],[WHRS RH]],1))</f>
        <v>0</v>
      </c>
      <c r="Z933" s="8"/>
      <c r="AA933" s="1"/>
      <c r="AB933" s="1"/>
      <c r="AC933" s="1"/>
      <c r="AD933" s="1"/>
      <c r="AE933" s="1"/>
      <c r="AF933" s="1"/>
      <c r="AG933" s="1" t="str">
        <f t="shared" si="40"/>
        <v/>
      </c>
      <c r="AH933" s="1" t="str">
        <f t="shared" si="39"/>
        <v/>
      </c>
      <c r="AI933" s="1" t="str">
        <f>IF(AH933="", "", SUM($AH$4:AH933))</f>
        <v/>
      </c>
      <c r="AJ933" s="9"/>
    </row>
    <row r="934" spans="1:36">
      <c r="A934" s="7"/>
      <c r="X934" s="6" t="str">
        <f>IF(Table1[[#This Row],[WHRS NET KW TOTAL]]&lt;&gt;0,Table1[[#This Row],[WHRS NET KW TOTAL]]-U933,"")</f>
        <v/>
      </c>
      <c r="Y934" s="6" t="b">
        <f>IF(AND(Table1[[#This Row],[WHRS KW RECOVERED PER DAY]]&lt;&gt;0,Table1[[#This Row],[WHRS RH]]&lt;&gt;0),ROUND(Table1[[#This Row],[WHRS KW RECOVERED PER DAY]]/Table1[[#This Row],[WHRS RH]],1))</f>
        <v>0</v>
      </c>
      <c r="Z934" s="8"/>
      <c r="AA934" s="1"/>
      <c r="AB934" s="1"/>
      <c r="AC934" s="1"/>
      <c r="AD934" s="1"/>
      <c r="AE934" s="1"/>
      <c r="AF934" s="1"/>
      <c r="AG934" s="1" t="str">
        <f t="shared" si="40"/>
        <v/>
      </c>
      <c r="AH934" s="1" t="str">
        <f t="shared" si="39"/>
        <v/>
      </c>
      <c r="AI934" s="1" t="str">
        <f>IF(AH934="", "", SUM($AH$4:AH934))</f>
        <v/>
      </c>
      <c r="AJ934" s="9"/>
    </row>
    <row r="935" spans="1:36">
      <c r="A935" s="7"/>
      <c r="X935" s="6" t="str">
        <f>IF(Table1[[#This Row],[WHRS NET KW TOTAL]]&lt;&gt;0,Table1[[#This Row],[WHRS NET KW TOTAL]]-U934,"")</f>
        <v/>
      </c>
      <c r="Y935" s="6" t="b">
        <f>IF(AND(Table1[[#This Row],[WHRS KW RECOVERED PER DAY]]&lt;&gt;0,Table1[[#This Row],[WHRS RH]]&lt;&gt;0),ROUND(Table1[[#This Row],[WHRS KW RECOVERED PER DAY]]/Table1[[#This Row],[WHRS RH]],1))</f>
        <v>0</v>
      </c>
      <c r="Z935" s="8"/>
      <c r="AA935" s="1"/>
      <c r="AB935" s="1"/>
      <c r="AC935" s="1"/>
      <c r="AD935" s="1"/>
      <c r="AE935" s="1"/>
      <c r="AF935" s="1"/>
      <c r="AG935" s="1" t="str">
        <f t="shared" si="40"/>
        <v/>
      </c>
      <c r="AH935" s="1" t="str">
        <f t="shared" si="39"/>
        <v/>
      </c>
      <c r="AI935" s="1" t="str">
        <f>IF(AH935="", "", SUM($AH$4:AH935))</f>
        <v/>
      </c>
      <c r="AJ935" s="9"/>
    </row>
    <row r="936" spans="1:36">
      <c r="A936" s="7"/>
      <c r="X936" s="6" t="str">
        <f>IF(Table1[[#This Row],[WHRS NET KW TOTAL]]&lt;&gt;0,Table1[[#This Row],[WHRS NET KW TOTAL]]-U935,"")</f>
        <v/>
      </c>
      <c r="Y936" s="6" t="b">
        <f>IF(AND(Table1[[#This Row],[WHRS KW RECOVERED PER DAY]]&lt;&gt;0,Table1[[#This Row],[WHRS RH]]&lt;&gt;0),ROUND(Table1[[#This Row],[WHRS KW RECOVERED PER DAY]]/Table1[[#This Row],[WHRS RH]],1))</f>
        <v>0</v>
      </c>
      <c r="Z936" s="8"/>
      <c r="AA936" s="1"/>
      <c r="AB936" s="1"/>
      <c r="AC936" s="1"/>
      <c r="AD936" s="1"/>
      <c r="AE936" s="1"/>
      <c r="AF936" s="1"/>
      <c r="AG936" s="1" t="str">
        <f t="shared" si="40"/>
        <v/>
      </c>
      <c r="AH936" s="1" t="str">
        <f t="shared" si="39"/>
        <v/>
      </c>
      <c r="AI936" s="1" t="str">
        <f>IF(AH936="", "", SUM($AH$4:AH936))</f>
        <v/>
      </c>
      <c r="AJ936" s="9"/>
    </row>
    <row r="937" spans="1:36">
      <c r="A937" s="7"/>
      <c r="X937" s="6" t="str">
        <f>IF(Table1[[#This Row],[WHRS NET KW TOTAL]]&lt;&gt;0,Table1[[#This Row],[WHRS NET KW TOTAL]]-U936,"")</f>
        <v/>
      </c>
      <c r="Y937" s="6" t="b">
        <f>IF(AND(Table1[[#This Row],[WHRS KW RECOVERED PER DAY]]&lt;&gt;0,Table1[[#This Row],[WHRS RH]]&lt;&gt;0),ROUND(Table1[[#This Row],[WHRS KW RECOVERED PER DAY]]/Table1[[#This Row],[WHRS RH]],1))</f>
        <v>0</v>
      </c>
      <c r="Z937" s="8"/>
      <c r="AA937" s="1"/>
      <c r="AB937" s="1"/>
      <c r="AC937" s="1"/>
      <c r="AD937" s="1"/>
      <c r="AE937" s="1"/>
      <c r="AF937" s="1"/>
      <c r="AG937" s="1" t="str">
        <f t="shared" si="40"/>
        <v/>
      </c>
      <c r="AH937" s="1" t="str">
        <f t="shared" si="39"/>
        <v/>
      </c>
      <c r="AI937" s="1" t="str">
        <f>IF(AH937="", "", SUM($AH$4:AH937))</f>
        <v/>
      </c>
      <c r="AJ937" s="9"/>
    </row>
    <row r="938" spans="1:36">
      <c r="A938" s="7"/>
      <c r="X938" s="6" t="str">
        <f>IF(Table1[[#This Row],[WHRS NET KW TOTAL]]&lt;&gt;0,Table1[[#This Row],[WHRS NET KW TOTAL]]-U937,"")</f>
        <v/>
      </c>
      <c r="Y938" s="6" t="b">
        <f>IF(AND(Table1[[#This Row],[WHRS KW RECOVERED PER DAY]]&lt;&gt;0,Table1[[#This Row],[WHRS RH]]&lt;&gt;0),ROUND(Table1[[#This Row],[WHRS KW RECOVERED PER DAY]]/Table1[[#This Row],[WHRS RH]],1))</f>
        <v>0</v>
      </c>
      <c r="Z938" s="8"/>
      <c r="AA938" s="1"/>
      <c r="AB938" s="1"/>
      <c r="AC938" s="1"/>
      <c r="AD938" s="1"/>
      <c r="AE938" s="1"/>
      <c r="AF938" s="1"/>
      <c r="AG938" s="1" t="str">
        <f t="shared" si="40"/>
        <v/>
      </c>
      <c r="AH938" s="1" t="str">
        <f t="shared" si="39"/>
        <v/>
      </c>
      <c r="AI938" s="1" t="str">
        <f>IF(AH938="", "", SUM($AH$4:AH938))</f>
        <v/>
      </c>
      <c r="AJ938" s="9"/>
    </row>
    <row r="939" spans="1:36">
      <c r="A939" s="7"/>
      <c r="X939" s="6" t="str">
        <f>IF(Table1[[#This Row],[WHRS NET KW TOTAL]]&lt;&gt;0,Table1[[#This Row],[WHRS NET KW TOTAL]]-U938,"")</f>
        <v/>
      </c>
      <c r="Y939" s="6" t="b">
        <f>IF(AND(Table1[[#This Row],[WHRS KW RECOVERED PER DAY]]&lt;&gt;0,Table1[[#This Row],[WHRS RH]]&lt;&gt;0),ROUND(Table1[[#This Row],[WHRS KW RECOVERED PER DAY]]/Table1[[#This Row],[WHRS RH]],1))</f>
        <v>0</v>
      </c>
      <c r="Z939" s="8"/>
      <c r="AA939" s="1"/>
      <c r="AB939" s="1"/>
      <c r="AC939" s="1"/>
      <c r="AD939" s="1"/>
      <c r="AE939" s="1"/>
      <c r="AF939" s="1"/>
      <c r="AG939" s="1" t="str">
        <f t="shared" si="40"/>
        <v/>
      </c>
      <c r="AH939" s="1" t="str">
        <f t="shared" si="39"/>
        <v/>
      </c>
      <c r="AI939" s="1" t="str">
        <f>IF(AH939="", "", SUM($AH$4:AH939))</f>
        <v/>
      </c>
      <c r="AJ939" s="9"/>
    </row>
    <row r="940" spans="1:36">
      <c r="A940" s="7"/>
      <c r="X940" s="6" t="str">
        <f>IF(Table1[[#This Row],[WHRS NET KW TOTAL]]&lt;&gt;0,Table1[[#This Row],[WHRS NET KW TOTAL]]-U939,"")</f>
        <v/>
      </c>
      <c r="Y940" s="6" t="b">
        <f>IF(AND(Table1[[#This Row],[WHRS KW RECOVERED PER DAY]]&lt;&gt;0,Table1[[#This Row],[WHRS RH]]&lt;&gt;0),ROUND(Table1[[#This Row],[WHRS KW RECOVERED PER DAY]]/Table1[[#This Row],[WHRS RH]],1))</f>
        <v>0</v>
      </c>
      <c r="Z940" s="8"/>
      <c r="AA940" s="1"/>
      <c r="AB940" s="1"/>
      <c r="AC940" s="1"/>
      <c r="AD940" s="1"/>
      <c r="AE940" s="1"/>
      <c r="AF940" s="1"/>
      <c r="AG940" s="1" t="str">
        <f t="shared" si="40"/>
        <v/>
      </c>
      <c r="AH940" s="1" t="str">
        <f t="shared" si="39"/>
        <v/>
      </c>
      <c r="AI940" s="1" t="str">
        <f>IF(AH940="", "", SUM($AH$4:AH940))</f>
        <v/>
      </c>
      <c r="AJ940" s="9"/>
    </row>
    <row r="941" spans="1:36">
      <c r="A941" s="7"/>
      <c r="X941" s="6" t="str">
        <f>IF(Table1[[#This Row],[WHRS NET KW TOTAL]]&lt;&gt;0,Table1[[#This Row],[WHRS NET KW TOTAL]]-U940,"")</f>
        <v/>
      </c>
      <c r="Y941" s="6" t="b">
        <f>IF(AND(Table1[[#This Row],[WHRS KW RECOVERED PER DAY]]&lt;&gt;0,Table1[[#This Row],[WHRS RH]]&lt;&gt;0),ROUND(Table1[[#This Row],[WHRS KW RECOVERED PER DAY]]/Table1[[#This Row],[WHRS RH]],1))</f>
        <v>0</v>
      </c>
      <c r="Z941" s="8"/>
      <c r="AA941" s="1"/>
      <c r="AB941" s="1"/>
      <c r="AC941" s="1"/>
      <c r="AD941" s="1"/>
      <c r="AE941" s="1"/>
      <c r="AF941" s="1"/>
      <c r="AG941" s="1" t="str">
        <f t="shared" si="40"/>
        <v/>
      </c>
      <c r="AH941" s="1" t="str">
        <f t="shared" si="39"/>
        <v/>
      </c>
      <c r="AI941" s="1" t="str">
        <f>IF(AH941="", "", SUM($AH$4:AH941))</f>
        <v/>
      </c>
      <c r="AJ941" s="9"/>
    </row>
    <row r="942" spans="1:36">
      <c r="A942" s="7"/>
      <c r="X942" s="6" t="str">
        <f>IF(Table1[[#This Row],[WHRS NET KW TOTAL]]&lt;&gt;0,Table1[[#This Row],[WHRS NET KW TOTAL]]-U941,"")</f>
        <v/>
      </c>
      <c r="Y942" s="6" t="b">
        <f>IF(AND(Table1[[#This Row],[WHRS KW RECOVERED PER DAY]]&lt;&gt;0,Table1[[#This Row],[WHRS RH]]&lt;&gt;0),ROUND(Table1[[#This Row],[WHRS KW RECOVERED PER DAY]]/Table1[[#This Row],[WHRS RH]],1))</f>
        <v>0</v>
      </c>
      <c r="Z942" s="8"/>
      <c r="AA942" s="1"/>
      <c r="AB942" s="1"/>
      <c r="AC942" s="1"/>
      <c r="AD942" s="1"/>
      <c r="AE942" s="1"/>
      <c r="AF942" s="1"/>
      <c r="AG942" s="1" t="str">
        <f t="shared" si="40"/>
        <v/>
      </c>
      <c r="AH942" s="1" t="str">
        <f t="shared" si="39"/>
        <v/>
      </c>
      <c r="AI942" s="1" t="str">
        <f>IF(AH942="", "", SUM($AH$4:AH942))</f>
        <v/>
      </c>
      <c r="AJ942" s="9"/>
    </row>
    <row r="943" spans="1:36">
      <c r="A943" s="7"/>
      <c r="X943" s="6" t="str">
        <f>IF(Table1[[#This Row],[WHRS NET KW TOTAL]]&lt;&gt;0,Table1[[#This Row],[WHRS NET KW TOTAL]]-U942,"")</f>
        <v/>
      </c>
      <c r="Y943" s="6" t="b">
        <f>IF(AND(Table1[[#This Row],[WHRS KW RECOVERED PER DAY]]&lt;&gt;0,Table1[[#This Row],[WHRS RH]]&lt;&gt;0),ROUND(Table1[[#This Row],[WHRS KW RECOVERED PER DAY]]/Table1[[#This Row],[WHRS RH]],1))</f>
        <v>0</v>
      </c>
      <c r="Z943" s="8"/>
      <c r="AA943" s="1"/>
      <c r="AB943" s="1"/>
      <c r="AC943" s="1"/>
      <c r="AD943" s="1"/>
      <c r="AE943" s="1"/>
      <c r="AF943" s="1"/>
      <c r="AG943" s="1" t="str">
        <f t="shared" si="40"/>
        <v/>
      </c>
      <c r="AH943" s="1" t="str">
        <f t="shared" si="39"/>
        <v/>
      </c>
      <c r="AI943" s="1" t="str">
        <f>IF(AH943="", "", SUM($AH$4:AH943))</f>
        <v/>
      </c>
      <c r="AJ943" s="9"/>
    </row>
    <row r="944" spans="1:36">
      <c r="A944" s="7"/>
      <c r="X944" s="6" t="str">
        <f>IF(Table1[[#This Row],[WHRS NET KW TOTAL]]&lt;&gt;0,Table1[[#This Row],[WHRS NET KW TOTAL]]-U943,"")</f>
        <v/>
      </c>
      <c r="Y944" s="6" t="b">
        <f>IF(AND(Table1[[#This Row],[WHRS KW RECOVERED PER DAY]]&lt;&gt;0,Table1[[#This Row],[WHRS RH]]&lt;&gt;0),ROUND(Table1[[#This Row],[WHRS KW RECOVERED PER DAY]]/Table1[[#This Row],[WHRS RH]],1))</f>
        <v>0</v>
      </c>
      <c r="Z944" s="8"/>
      <c r="AA944" s="1"/>
      <c r="AB944" s="1"/>
      <c r="AC944" s="1"/>
      <c r="AD944" s="1"/>
      <c r="AE944" s="1"/>
      <c r="AF944" s="1"/>
      <c r="AG944" s="1" t="str">
        <f t="shared" si="40"/>
        <v/>
      </c>
      <c r="AH944" s="1" t="str">
        <f t="shared" si="39"/>
        <v/>
      </c>
      <c r="AI944" s="1" t="str">
        <f>IF(AH944="", "", SUM($AH$4:AH944))</f>
        <v/>
      </c>
      <c r="AJ944" s="9"/>
    </row>
    <row r="945" spans="1:36">
      <c r="A945" s="7"/>
      <c r="X945" s="6" t="str">
        <f>IF(Table1[[#This Row],[WHRS NET KW TOTAL]]&lt;&gt;0,Table1[[#This Row],[WHRS NET KW TOTAL]]-U944,"")</f>
        <v/>
      </c>
      <c r="Y945" s="6" t="b">
        <f>IF(AND(Table1[[#This Row],[WHRS KW RECOVERED PER DAY]]&lt;&gt;0,Table1[[#This Row],[WHRS RH]]&lt;&gt;0),ROUND(Table1[[#This Row],[WHRS KW RECOVERED PER DAY]]/Table1[[#This Row],[WHRS RH]],1))</f>
        <v>0</v>
      </c>
      <c r="Z945" s="8"/>
      <c r="AA945" s="1"/>
      <c r="AB945" s="1"/>
      <c r="AC945" s="1"/>
      <c r="AD945" s="1"/>
      <c r="AE945" s="1"/>
      <c r="AF945" s="1"/>
      <c r="AG945" s="1" t="str">
        <f t="shared" si="40"/>
        <v/>
      </c>
      <c r="AH945" s="1" t="str">
        <f t="shared" si="39"/>
        <v/>
      </c>
      <c r="AI945" s="1" t="str">
        <f>IF(AH945="", "", SUM($AH$4:AH945))</f>
        <v/>
      </c>
      <c r="AJ945" s="9"/>
    </row>
    <row r="946" spans="1:36">
      <c r="A946" s="7"/>
      <c r="X946" s="6" t="str">
        <f>IF(Table1[[#This Row],[WHRS NET KW TOTAL]]&lt;&gt;0,Table1[[#This Row],[WHRS NET KW TOTAL]]-U945,"")</f>
        <v/>
      </c>
      <c r="Y946" s="6" t="b">
        <f>IF(AND(Table1[[#This Row],[WHRS KW RECOVERED PER DAY]]&lt;&gt;0,Table1[[#This Row],[WHRS RH]]&lt;&gt;0),ROUND(Table1[[#This Row],[WHRS KW RECOVERED PER DAY]]/Table1[[#This Row],[WHRS RH]],1))</f>
        <v>0</v>
      </c>
      <c r="Z946" s="8"/>
      <c r="AA946" s="1"/>
      <c r="AB946" s="1"/>
      <c r="AC946" s="1"/>
      <c r="AD946" s="1"/>
      <c r="AE946" s="1"/>
      <c r="AF946" s="1"/>
      <c r="AG946" s="1" t="str">
        <f t="shared" si="40"/>
        <v/>
      </c>
      <c r="AH946" s="1" t="str">
        <f t="shared" si="39"/>
        <v/>
      </c>
      <c r="AI946" s="1" t="str">
        <f>IF(AH946="", "", SUM($AH$4:AH946))</f>
        <v/>
      </c>
      <c r="AJ946" s="9"/>
    </row>
    <row r="947" spans="1:36">
      <c r="A947" s="7"/>
      <c r="X947" s="6" t="str">
        <f>IF(Table1[[#This Row],[WHRS NET KW TOTAL]]&lt;&gt;0,Table1[[#This Row],[WHRS NET KW TOTAL]]-U946,"")</f>
        <v/>
      </c>
      <c r="Y947" s="6" t="b">
        <f>IF(AND(Table1[[#This Row],[WHRS KW RECOVERED PER DAY]]&lt;&gt;0,Table1[[#This Row],[WHRS RH]]&lt;&gt;0),ROUND(Table1[[#This Row],[WHRS KW RECOVERED PER DAY]]/Table1[[#This Row],[WHRS RH]],1))</f>
        <v>0</v>
      </c>
      <c r="Z947" s="8"/>
      <c r="AA947" s="1"/>
      <c r="AB947" s="1"/>
      <c r="AC947" s="1"/>
      <c r="AD947" s="1"/>
      <c r="AE947" s="1"/>
      <c r="AF947" s="1"/>
      <c r="AG947" s="1" t="str">
        <f t="shared" si="40"/>
        <v/>
      </c>
      <c r="AH947" s="1" t="str">
        <f t="shared" si="39"/>
        <v/>
      </c>
      <c r="AI947" s="1" t="str">
        <f>IF(AH947="", "", SUM($AH$4:AH947))</f>
        <v/>
      </c>
      <c r="AJ947" s="9"/>
    </row>
    <row r="948" spans="1:36">
      <c r="A948" s="7"/>
      <c r="X948" s="6" t="str">
        <f>IF(Table1[[#This Row],[WHRS NET KW TOTAL]]&lt;&gt;0,Table1[[#This Row],[WHRS NET KW TOTAL]]-U947,"")</f>
        <v/>
      </c>
      <c r="Y948" s="6" t="b">
        <f>IF(AND(Table1[[#This Row],[WHRS KW RECOVERED PER DAY]]&lt;&gt;0,Table1[[#This Row],[WHRS RH]]&lt;&gt;0),ROUND(Table1[[#This Row],[WHRS KW RECOVERED PER DAY]]/Table1[[#This Row],[WHRS RH]],1))</f>
        <v>0</v>
      </c>
      <c r="Z948" s="8"/>
      <c r="AA948" s="1"/>
      <c r="AB948" s="1"/>
      <c r="AC948" s="1"/>
      <c r="AD948" s="1"/>
      <c r="AE948" s="1"/>
      <c r="AF948" s="1"/>
      <c r="AG948" s="1" t="str">
        <f t="shared" si="40"/>
        <v/>
      </c>
      <c r="AH948" s="1" t="str">
        <f t="shared" si="39"/>
        <v/>
      </c>
      <c r="AI948" s="1" t="str">
        <f>IF(AH948="", "", SUM($AH$4:AH948))</f>
        <v/>
      </c>
      <c r="AJ948" s="9"/>
    </row>
    <row r="949" spans="1:36">
      <c r="A949" s="7"/>
      <c r="X949" s="6" t="str">
        <f>IF(Table1[[#This Row],[WHRS NET KW TOTAL]]&lt;&gt;0,Table1[[#This Row],[WHRS NET KW TOTAL]]-U948,"")</f>
        <v/>
      </c>
      <c r="Y949" s="6" t="b">
        <f>IF(AND(Table1[[#This Row],[WHRS KW RECOVERED PER DAY]]&lt;&gt;0,Table1[[#This Row],[WHRS RH]]&lt;&gt;0),ROUND(Table1[[#This Row],[WHRS KW RECOVERED PER DAY]]/Table1[[#This Row],[WHRS RH]],1))</f>
        <v>0</v>
      </c>
      <c r="Z949" s="8"/>
      <c r="AA949" s="1"/>
      <c r="AB949" s="1"/>
      <c r="AC949" s="1"/>
      <c r="AD949" s="1"/>
      <c r="AE949" s="1"/>
      <c r="AF949" s="1"/>
      <c r="AG949" s="1" t="str">
        <f t="shared" si="40"/>
        <v/>
      </c>
      <c r="AH949" s="1" t="str">
        <f t="shared" si="39"/>
        <v/>
      </c>
      <c r="AI949" s="1" t="str">
        <f>IF(AH949="", "", SUM($AH$4:AH949))</f>
        <v/>
      </c>
      <c r="AJ949" s="9"/>
    </row>
    <row r="950" spans="1:36">
      <c r="A950" s="7"/>
      <c r="X950" s="6" t="str">
        <f>IF(Table1[[#This Row],[WHRS NET KW TOTAL]]&lt;&gt;0,Table1[[#This Row],[WHRS NET KW TOTAL]]-U949,"")</f>
        <v/>
      </c>
      <c r="Y950" s="6" t="b">
        <f>IF(AND(Table1[[#This Row],[WHRS KW RECOVERED PER DAY]]&lt;&gt;0,Table1[[#This Row],[WHRS RH]]&lt;&gt;0),ROUND(Table1[[#This Row],[WHRS KW RECOVERED PER DAY]]/Table1[[#This Row],[WHRS RH]],1))</f>
        <v>0</v>
      </c>
      <c r="Z950" s="8"/>
      <c r="AA950" s="1"/>
      <c r="AB950" s="1"/>
      <c r="AC950" s="1"/>
      <c r="AD950" s="1"/>
      <c r="AE950" s="1"/>
      <c r="AF950" s="1"/>
      <c r="AG950" s="1" t="str">
        <f t="shared" si="40"/>
        <v/>
      </c>
      <c r="AH950" s="1" t="str">
        <f t="shared" si="39"/>
        <v/>
      </c>
      <c r="AI950" s="1" t="str">
        <f>IF(AH950="", "", SUM($AH$4:AH950))</f>
        <v/>
      </c>
      <c r="AJ950" s="9"/>
    </row>
    <row r="951" spans="1:36">
      <c r="A951" s="7"/>
      <c r="X951" s="6" t="str">
        <f>IF(Table1[[#This Row],[WHRS NET KW TOTAL]]&lt;&gt;0,Table1[[#This Row],[WHRS NET KW TOTAL]]-U950,"")</f>
        <v/>
      </c>
      <c r="Y951" s="6" t="b">
        <f>IF(AND(Table1[[#This Row],[WHRS KW RECOVERED PER DAY]]&lt;&gt;0,Table1[[#This Row],[WHRS RH]]&lt;&gt;0),ROUND(Table1[[#This Row],[WHRS KW RECOVERED PER DAY]]/Table1[[#This Row],[WHRS RH]],1))</f>
        <v>0</v>
      </c>
      <c r="Z951" s="8"/>
      <c r="AA951" s="1"/>
      <c r="AB951" s="1"/>
      <c r="AC951" s="1"/>
      <c r="AD951" s="1"/>
      <c r="AE951" s="1"/>
      <c r="AF951" s="1"/>
      <c r="AG951" s="1" t="str">
        <f t="shared" si="40"/>
        <v/>
      </c>
      <c r="AH951" s="1" t="str">
        <f t="shared" si="39"/>
        <v/>
      </c>
      <c r="AI951" s="1" t="str">
        <f>IF(AH951="", "", SUM($AH$4:AH951))</f>
        <v/>
      </c>
      <c r="AJ951" s="9"/>
    </row>
    <row r="952" spans="1:36">
      <c r="A952" s="7"/>
      <c r="X952" s="6" t="str">
        <f>IF(Table1[[#This Row],[WHRS NET KW TOTAL]]&lt;&gt;0,Table1[[#This Row],[WHRS NET KW TOTAL]]-U951,"")</f>
        <v/>
      </c>
      <c r="Y952" s="6" t="b">
        <f>IF(AND(Table1[[#This Row],[WHRS KW RECOVERED PER DAY]]&lt;&gt;0,Table1[[#This Row],[WHRS RH]]&lt;&gt;0),ROUND(Table1[[#This Row],[WHRS KW RECOVERED PER DAY]]/Table1[[#This Row],[WHRS RH]],1))</f>
        <v>0</v>
      </c>
      <c r="Z952" s="8"/>
      <c r="AA952" s="1"/>
      <c r="AB952" s="1"/>
      <c r="AC952" s="1"/>
      <c r="AD952" s="1"/>
      <c r="AE952" s="1"/>
      <c r="AF952" s="1"/>
      <c r="AG952" s="1" t="str">
        <f t="shared" si="40"/>
        <v/>
      </c>
      <c r="AH952" s="1" t="str">
        <f t="shared" si="39"/>
        <v/>
      </c>
      <c r="AI952" s="1" t="str">
        <f>IF(AH952="", "", SUM($AH$4:AH952))</f>
        <v/>
      </c>
      <c r="AJ952" s="9"/>
    </row>
    <row r="953" spans="1:36">
      <c r="A953" s="7"/>
      <c r="X953" s="6" t="str">
        <f>IF(Table1[[#This Row],[WHRS NET KW TOTAL]]&lt;&gt;0,Table1[[#This Row],[WHRS NET KW TOTAL]]-U952,"")</f>
        <v/>
      </c>
      <c r="Y953" s="6" t="b">
        <f>IF(AND(Table1[[#This Row],[WHRS KW RECOVERED PER DAY]]&lt;&gt;0,Table1[[#This Row],[WHRS RH]]&lt;&gt;0),ROUND(Table1[[#This Row],[WHRS KW RECOVERED PER DAY]]/Table1[[#This Row],[WHRS RH]],1))</f>
        <v>0</v>
      </c>
      <c r="Z953" s="8"/>
      <c r="AA953" s="1"/>
      <c r="AB953" s="1"/>
      <c r="AC953" s="1"/>
      <c r="AD953" s="1"/>
      <c r="AE953" s="1"/>
      <c r="AF953" s="1"/>
      <c r="AG953" s="1" t="str">
        <f t="shared" si="40"/>
        <v/>
      </c>
      <c r="AH953" s="1" t="str">
        <f t="shared" si="39"/>
        <v/>
      </c>
      <c r="AI953" s="1" t="str">
        <f>IF(AH953="", "", SUM($AH$4:AH953))</f>
        <v/>
      </c>
      <c r="AJ953" s="9"/>
    </row>
    <row r="954" spans="1:36">
      <c r="A954" s="7"/>
      <c r="X954" s="6" t="str">
        <f>IF(Table1[[#This Row],[WHRS NET KW TOTAL]]&lt;&gt;0,Table1[[#This Row],[WHRS NET KW TOTAL]]-U953,"")</f>
        <v/>
      </c>
      <c r="Y954" s="6" t="b">
        <f>IF(AND(Table1[[#This Row],[WHRS KW RECOVERED PER DAY]]&lt;&gt;0,Table1[[#This Row],[WHRS RH]]&lt;&gt;0),ROUND(Table1[[#This Row],[WHRS KW RECOVERED PER DAY]]/Table1[[#This Row],[WHRS RH]],1))</f>
        <v>0</v>
      </c>
      <c r="Z954" s="8"/>
      <c r="AA954" s="1"/>
      <c r="AB954" s="1"/>
      <c r="AC954" s="1"/>
      <c r="AD954" s="1"/>
      <c r="AE954" s="1"/>
      <c r="AF954" s="1"/>
      <c r="AG954" s="1" t="str">
        <f t="shared" si="40"/>
        <v/>
      </c>
      <c r="AH954" s="1" t="str">
        <f t="shared" si="39"/>
        <v/>
      </c>
      <c r="AI954" s="1" t="str">
        <f>IF(AH954="", "", SUM($AH$4:AH954))</f>
        <v/>
      </c>
      <c r="AJ954" s="9"/>
    </row>
    <row r="955" spans="1:36">
      <c r="A955" s="7"/>
      <c r="X955" s="6" t="str">
        <f>IF(Table1[[#This Row],[WHRS NET KW TOTAL]]&lt;&gt;0,Table1[[#This Row],[WHRS NET KW TOTAL]]-U954,"")</f>
        <v/>
      </c>
      <c r="Y955" s="6" t="b">
        <f>IF(AND(Table1[[#This Row],[WHRS KW RECOVERED PER DAY]]&lt;&gt;0,Table1[[#This Row],[WHRS RH]]&lt;&gt;0),ROUND(Table1[[#This Row],[WHRS KW RECOVERED PER DAY]]/Table1[[#This Row],[WHRS RH]],1))</f>
        <v>0</v>
      </c>
      <c r="Z955" s="8"/>
      <c r="AA955" s="1"/>
      <c r="AB955" s="1"/>
      <c r="AC955" s="1"/>
      <c r="AD955" s="1"/>
      <c r="AE955" s="1"/>
      <c r="AF955" s="1"/>
      <c r="AG955" s="1" t="str">
        <f t="shared" si="40"/>
        <v/>
      </c>
      <c r="AH955" s="1" t="str">
        <f t="shared" si="39"/>
        <v/>
      </c>
      <c r="AI955" s="1" t="str">
        <f>IF(AH955="", "", SUM($AH$4:AH955))</f>
        <v/>
      </c>
      <c r="AJ955" s="9"/>
    </row>
    <row r="956" spans="1:36">
      <c r="A956" s="7"/>
      <c r="X956" s="6" t="str">
        <f>IF(Table1[[#This Row],[WHRS NET KW TOTAL]]&lt;&gt;0,Table1[[#This Row],[WHRS NET KW TOTAL]]-U955,"")</f>
        <v/>
      </c>
      <c r="Y956" s="6" t="b">
        <f>IF(AND(Table1[[#This Row],[WHRS KW RECOVERED PER DAY]]&lt;&gt;0,Table1[[#This Row],[WHRS RH]]&lt;&gt;0),ROUND(Table1[[#This Row],[WHRS KW RECOVERED PER DAY]]/Table1[[#This Row],[WHRS RH]],1))</f>
        <v>0</v>
      </c>
      <c r="Z956" s="8"/>
      <c r="AA956" s="1"/>
      <c r="AB956" s="1"/>
      <c r="AC956" s="1"/>
      <c r="AD956" s="1"/>
      <c r="AE956" s="1"/>
      <c r="AF956" s="1"/>
      <c r="AG956" s="1" t="str">
        <f t="shared" si="40"/>
        <v/>
      </c>
      <c r="AH956" s="1" t="str">
        <f t="shared" si="39"/>
        <v/>
      </c>
      <c r="AI956" s="1" t="str">
        <f>IF(AH956="", "", SUM($AH$4:AH956))</f>
        <v/>
      </c>
      <c r="AJ956" s="9"/>
    </row>
    <row r="957" spans="1:36">
      <c r="A957" s="7"/>
      <c r="X957" s="6" t="str">
        <f>IF(Table1[[#This Row],[WHRS NET KW TOTAL]]&lt;&gt;0,Table1[[#This Row],[WHRS NET KW TOTAL]]-U956,"")</f>
        <v/>
      </c>
      <c r="Y957" s="6" t="b">
        <f>IF(AND(Table1[[#This Row],[WHRS KW RECOVERED PER DAY]]&lt;&gt;0,Table1[[#This Row],[WHRS RH]]&lt;&gt;0),ROUND(Table1[[#This Row],[WHRS KW RECOVERED PER DAY]]/Table1[[#This Row],[WHRS RH]],1))</f>
        <v>0</v>
      </c>
      <c r="Z957" s="8"/>
      <c r="AA957" s="1"/>
      <c r="AB957" s="1"/>
      <c r="AC957" s="1"/>
      <c r="AD957" s="1"/>
      <c r="AE957" s="1"/>
      <c r="AF957" s="1"/>
      <c r="AG957" s="1" t="str">
        <f t="shared" si="40"/>
        <v/>
      </c>
      <c r="AH957" s="1" t="str">
        <f t="shared" si="39"/>
        <v/>
      </c>
      <c r="AI957" s="1" t="str">
        <f>IF(AH957="", "", SUM($AH$4:AH957))</f>
        <v/>
      </c>
      <c r="AJ957" s="9"/>
    </row>
    <row r="958" spans="1:36">
      <c r="A958" s="7"/>
      <c r="X958" s="6" t="str">
        <f>IF(Table1[[#This Row],[WHRS NET KW TOTAL]]&lt;&gt;0,Table1[[#This Row],[WHRS NET KW TOTAL]]-U957,"")</f>
        <v/>
      </c>
      <c r="Y958" s="6" t="b">
        <f>IF(AND(Table1[[#This Row],[WHRS KW RECOVERED PER DAY]]&lt;&gt;0,Table1[[#This Row],[WHRS RH]]&lt;&gt;0),ROUND(Table1[[#This Row],[WHRS KW RECOVERED PER DAY]]/Table1[[#This Row],[WHRS RH]],1))</f>
        <v>0</v>
      </c>
      <c r="Z958" s="8"/>
      <c r="AA958" s="1"/>
      <c r="AB958" s="1"/>
      <c r="AC958" s="1"/>
      <c r="AD958" s="1"/>
      <c r="AE958" s="1"/>
      <c r="AF958" s="1"/>
      <c r="AG958" s="1" t="str">
        <f t="shared" si="40"/>
        <v/>
      </c>
      <c r="AH958" s="1" t="str">
        <f t="shared" si="39"/>
        <v/>
      </c>
      <c r="AI958" s="1" t="str">
        <f>IF(AH958="", "", SUM($AH$4:AH958))</f>
        <v/>
      </c>
      <c r="AJ958" s="9"/>
    </row>
    <row r="959" spans="1:36">
      <c r="A959" s="7"/>
      <c r="X959" s="6" t="str">
        <f>IF(Table1[[#This Row],[WHRS NET KW TOTAL]]&lt;&gt;0,Table1[[#This Row],[WHRS NET KW TOTAL]]-U958,"")</f>
        <v/>
      </c>
      <c r="Y959" s="6" t="b">
        <f>IF(AND(Table1[[#This Row],[WHRS KW RECOVERED PER DAY]]&lt;&gt;0,Table1[[#This Row],[WHRS RH]]&lt;&gt;0),ROUND(Table1[[#This Row],[WHRS KW RECOVERED PER DAY]]/Table1[[#This Row],[WHRS RH]],1))</f>
        <v>0</v>
      </c>
      <c r="Z959" s="8"/>
      <c r="AA959" s="1"/>
      <c r="AB959" s="1"/>
      <c r="AC959" s="1"/>
      <c r="AD959" s="1"/>
      <c r="AE959" s="1"/>
      <c r="AF959" s="1"/>
      <c r="AG959" s="1" t="str">
        <f t="shared" si="40"/>
        <v/>
      </c>
      <c r="AH959" s="1" t="str">
        <f t="shared" si="39"/>
        <v/>
      </c>
      <c r="AI959" s="1" t="str">
        <f>IF(AH959="", "", SUM($AH$4:AH959))</f>
        <v/>
      </c>
      <c r="AJ959" s="9"/>
    </row>
    <row r="960" spans="1:36">
      <c r="A960" s="7"/>
      <c r="X960" s="6" t="str">
        <f>IF(Table1[[#This Row],[WHRS NET KW TOTAL]]&lt;&gt;0,Table1[[#This Row],[WHRS NET KW TOTAL]]-U959,"")</f>
        <v/>
      </c>
      <c r="Y960" s="6" t="b">
        <f>IF(AND(Table1[[#This Row],[WHRS KW RECOVERED PER DAY]]&lt;&gt;0,Table1[[#This Row],[WHRS RH]]&lt;&gt;0),ROUND(Table1[[#This Row],[WHRS KW RECOVERED PER DAY]]/Table1[[#This Row],[WHRS RH]],1))</f>
        <v>0</v>
      </c>
      <c r="Z960" s="8"/>
      <c r="AA960" s="1"/>
      <c r="AB960" s="1"/>
      <c r="AC960" s="1"/>
      <c r="AD960" s="1"/>
      <c r="AE960" s="1"/>
      <c r="AF960" s="1"/>
      <c r="AG960" s="1" t="str">
        <f t="shared" si="40"/>
        <v/>
      </c>
      <c r="AH960" s="1" t="str">
        <f t="shared" si="39"/>
        <v/>
      </c>
      <c r="AI960" s="1" t="str">
        <f>IF(AH960="", "", SUM($AH$4:AH960))</f>
        <v/>
      </c>
      <c r="AJ960" s="9"/>
    </row>
    <row r="961" spans="1:36">
      <c r="A961" s="7"/>
      <c r="X961" s="6" t="str">
        <f>IF(Table1[[#This Row],[WHRS NET KW TOTAL]]&lt;&gt;0,Table1[[#This Row],[WHRS NET KW TOTAL]]-U960,"")</f>
        <v/>
      </c>
      <c r="Y961" s="6" t="b">
        <f>IF(AND(Table1[[#This Row],[WHRS KW RECOVERED PER DAY]]&lt;&gt;0,Table1[[#This Row],[WHRS RH]]&lt;&gt;0),ROUND(Table1[[#This Row],[WHRS KW RECOVERED PER DAY]]/Table1[[#This Row],[WHRS RH]],1))</f>
        <v>0</v>
      </c>
      <c r="Z961" s="8"/>
      <c r="AA961" s="1"/>
      <c r="AB961" s="1"/>
      <c r="AC961" s="1"/>
      <c r="AD961" s="1"/>
      <c r="AE961" s="1"/>
      <c r="AF961" s="1"/>
      <c r="AG961" s="1" t="str">
        <f t="shared" si="40"/>
        <v/>
      </c>
      <c r="AH961" s="1" t="str">
        <f t="shared" si="39"/>
        <v/>
      </c>
      <c r="AI961" s="1" t="str">
        <f>IF(AH961="", "", SUM($AH$4:AH961))</f>
        <v/>
      </c>
      <c r="AJ961" s="9"/>
    </row>
    <row r="962" spans="1:36">
      <c r="A962" s="7"/>
      <c r="X962" s="6" t="str">
        <f>IF(Table1[[#This Row],[WHRS NET KW TOTAL]]&lt;&gt;0,Table1[[#This Row],[WHRS NET KW TOTAL]]-U961,"")</f>
        <v/>
      </c>
      <c r="Y962" s="6" t="b">
        <f>IF(AND(Table1[[#This Row],[WHRS KW RECOVERED PER DAY]]&lt;&gt;0,Table1[[#This Row],[WHRS RH]]&lt;&gt;0),ROUND(Table1[[#This Row],[WHRS KW RECOVERED PER DAY]]/Table1[[#This Row],[WHRS RH]],1))</f>
        <v>0</v>
      </c>
      <c r="Z962" s="8"/>
      <c r="AA962" s="1"/>
      <c r="AB962" s="1"/>
      <c r="AC962" s="1"/>
      <c r="AD962" s="1"/>
      <c r="AE962" s="1"/>
      <c r="AF962" s="1"/>
      <c r="AG962" s="1" t="str">
        <f t="shared" si="40"/>
        <v/>
      </c>
      <c r="AH962" s="1" t="str">
        <f t="shared" si="39"/>
        <v/>
      </c>
      <c r="AI962" s="1" t="str">
        <f>IF(AH962="", "", SUM($AH$4:AH962))</f>
        <v/>
      </c>
      <c r="AJ962" s="9"/>
    </row>
    <row r="963" spans="1:36">
      <c r="A963" s="7"/>
      <c r="X963" s="6" t="str">
        <f>IF(Table1[[#This Row],[WHRS NET KW TOTAL]]&lt;&gt;0,Table1[[#This Row],[WHRS NET KW TOTAL]]-U962,"")</f>
        <v/>
      </c>
      <c r="Y963" s="6" t="b">
        <f>IF(AND(Table1[[#This Row],[WHRS KW RECOVERED PER DAY]]&lt;&gt;0,Table1[[#This Row],[WHRS RH]]&lt;&gt;0),ROUND(Table1[[#This Row],[WHRS KW RECOVERED PER DAY]]/Table1[[#This Row],[WHRS RH]],1))</f>
        <v>0</v>
      </c>
      <c r="Z963" s="8"/>
      <c r="AA963" s="1"/>
      <c r="AB963" s="1"/>
      <c r="AC963" s="1"/>
      <c r="AD963" s="1"/>
      <c r="AE963" s="1"/>
      <c r="AF963" s="1"/>
      <c r="AG963" s="1" t="str">
        <f t="shared" si="40"/>
        <v/>
      </c>
      <c r="AH963" s="1" t="str">
        <f t="shared" ref="AH963:AH998" si="41">IF(W963="","", W963 * (AG963 / 1000000) * AH963)</f>
        <v/>
      </c>
      <c r="AI963" s="1" t="str">
        <f>IF(AH963="", "", SUM($AH$4:AH963))</f>
        <v/>
      </c>
      <c r="AJ963" s="9"/>
    </row>
    <row r="964" spans="1:36">
      <c r="A964" s="7"/>
      <c r="X964" s="6" t="str">
        <f>IF(Table1[[#This Row],[WHRS NET KW TOTAL]]&lt;&gt;0,Table1[[#This Row],[WHRS NET KW TOTAL]]-U963,"")</f>
        <v/>
      </c>
      <c r="Y964" s="6" t="b">
        <f>IF(AND(Table1[[#This Row],[WHRS KW RECOVERED PER DAY]]&lt;&gt;0,Table1[[#This Row],[WHRS RH]]&lt;&gt;0),ROUND(Table1[[#This Row],[WHRS KW RECOVERED PER DAY]]/Table1[[#This Row],[WHRS RH]],1))</f>
        <v>0</v>
      </c>
      <c r="Z964" s="8"/>
      <c r="AA964" s="1"/>
      <c r="AB964" s="1"/>
      <c r="AC964" s="1"/>
      <c r="AD964" s="1"/>
      <c r="AE964" s="1"/>
      <c r="AF964" s="1"/>
      <c r="AG964" s="1" t="str">
        <f t="shared" si="40"/>
        <v/>
      </c>
      <c r="AH964" s="1" t="str">
        <f t="shared" si="41"/>
        <v/>
      </c>
      <c r="AI964" s="1" t="str">
        <f>IF(AH964="", "", SUM($AH$4:AH964))</f>
        <v/>
      </c>
      <c r="AJ964" s="9"/>
    </row>
    <row r="965" spans="1:36">
      <c r="A965" s="7"/>
      <c r="X965" s="6" t="str">
        <f>IF(Table1[[#This Row],[WHRS NET KW TOTAL]]&lt;&gt;0,Table1[[#This Row],[WHRS NET KW TOTAL]]-U964,"")</f>
        <v/>
      </c>
      <c r="Y965" s="6" t="b">
        <f>IF(AND(Table1[[#This Row],[WHRS KW RECOVERED PER DAY]]&lt;&gt;0,Table1[[#This Row],[WHRS RH]]&lt;&gt;0),ROUND(Table1[[#This Row],[WHRS KW RECOVERED PER DAY]]/Table1[[#This Row],[WHRS RH]],1))</f>
        <v>0</v>
      </c>
      <c r="Z965" s="8"/>
      <c r="AA965" s="1"/>
      <c r="AB965" s="1"/>
      <c r="AC965" s="1"/>
      <c r="AD965" s="1"/>
      <c r="AE965" s="1"/>
      <c r="AF965" s="1"/>
      <c r="AG965" s="1" t="str">
        <f t="shared" ref="AG965:AG997" si="42">IF(C965="", "", _xlfn.IFS(C965="LNG", 1345, C965="LSMGO", 1280, C965="VLSFO", 820, C965="HSFO", 635, TRUE, ""))</f>
        <v/>
      </c>
      <c r="AH965" s="1" t="str">
        <f t="shared" si="41"/>
        <v/>
      </c>
      <c r="AI965" s="1" t="str">
        <f>IF(AH965="", "", SUM($AH$4:AH965))</f>
        <v/>
      </c>
      <c r="AJ965" s="9"/>
    </row>
    <row r="966" spans="1:36">
      <c r="A966" s="7"/>
      <c r="X966" s="6" t="str">
        <f>IF(Table1[[#This Row],[WHRS NET KW TOTAL]]&lt;&gt;0,Table1[[#This Row],[WHRS NET KW TOTAL]]-U965,"")</f>
        <v/>
      </c>
      <c r="Y966" s="6" t="b">
        <f>IF(AND(Table1[[#This Row],[WHRS KW RECOVERED PER DAY]]&lt;&gt;0,Table1[[#This Row],[WHRS RH]]&lt;&gt;0),ROUND(Table1[[#This Row],[WHRS KW RECOVERED PER DAY]]/Table1[[#This Row],[WHRS RH]],1))</f>
        <v>0</v>
      </c>
      <c r="Z966" s="8"/>
      <c r="AA966" s="1"/>
      <c r="AB966" s="1"/>
      <c r="AC966" s="1"/>
      <c r="AD966" s="1"/>
      <c r="AE966" s="1"/>
      <c r="AF966" s="1"/>
      <c r="AG966" s="1" t="str">
        <f t="shared" si="42"/>
        <v/>
      </c>
      <c r="AH966" s="1" t="str">
        <f t="shared" si="41"/>
        <v/>
      </c>
      <c r="AI966" s="1" t="str">
        <f>IF(AH966="", "", SUM($AH$4:AH966))</f>
        <v/>
      </c>
      <c r="AJ966" s="9"/>
    </row>
    <row r="967" spans="1:36">
      <c r="A967" s="7"/>
      <c r="X967" s="6" t="str">
        <f>IF(Table1[[#This Row],[WHRS NET KW TOTAL]]&lt;&gt;0,Table1[[#This Row],[WHRS NET KW TOTAL]]-U966,"")</f>
        <v/>
      </c>
      <c r="Y967" s="6" t="b">
        <f>IF(AND(Table1[[#This Row],[WHRS KW RECOVERED PER DAY]]&lt;&gt;0,Table1[[#This Row],[WHRS RH]]&lt;&gt;0),ROUND(Table1[[#This Row],[WHRS KW RECOVERED PER DAY]]/Table1[[#This Row],[WHRS RH]],1))</f>
        <v>0</v>
      </c>
      <c r="Z967" s="8"/>
      <c r="AA967" s="1"/>
      <c r="AB967" s="1"/>
      <c r="AC967" s="1"/>
      <c r="AD967" s="1"/>
      <c r="AE967" s="1"/>
      <c r="AF967" s="1"/>
      <c r="AG967" s="1" t="str">
        <f t="shared" si="42"/>
        <v/>
      </c>
      <c r="AH967" s="1" t="str">
        <f t="shared" si="41"/>
        <v/>
      </c>
      <c r="AI967" s="1" t="str">
        <f>IF(AH967="", "", SUM($AH$4:AH967))</f>
        <v/>
      </c>
      <c r="AJ967" s="9"/>
    </row>
    <row r="968" spans="1:36">
      <c r="A968" s="7"/>
      <c r="X968" s="6" t="str">
        <f>IF(Table1[[#This Row],[WHRS NET KW TOTAL]]&lt;&gt;0,Table1[[#This Row],[WHRS NET KW TOTAL]]-U967,"")</f>
        <v/>
      </c>
      <c r="Y968" s="6" t="b">
        <f>IF(AND(Table1[[#This Row],[WHRS KW RECOVERED PER DAY]]&lt;&gt;0,Table1[[#This Row],[WHRS RH]]&lt;&gt;0),ROUND(Table1[[#This Row],[WHRS KW RECOVERED PER DAY]]/Table1[[#This Row],[WHRS RH]],1))</f>
        <v>0</v>
      </c>
      <c r="Z968" s="8"/>
      <c r="AA968" s="1"/>
      <c r="AB968" s="1"/>
      <c r="AC968" s="1"/>
      <c r="AD968" s="1"/>
      <c r="AE968" s="1"/>
      <c r="AF968" s="1"/>
      <c r="AG968" s="1" t="str">
        <f t="shared" si="42"/>
        <v/>
      </c>
      <c r="AH968" s="1" t="str">
        <f t="shared" si="41"/>
        <v/>
      </c>
      <c r="AI968" s="1" t="str">
        <f>IF(AH968="", "", SUM($AH$4:AH968))</f>
        <v/>
      </c>
      <c r="AJ968" s="9"/>
    </row>
    <row r="969" spans="1:36">
      <c r="A969" s="7"/>
      <c r="X969" s="6" t="str">
        <f>IF(Table1[[#This Row],[WHRS NET KW TOTAL]]&lt;&gt;0,Table1[[#This Row],[WHRS NET KW TOTAL]]-U968,"")</f>
        <v/>
      </c>
      <c r="Y969" s="6" t="b">
        <f>IF(AND(Table1[[#This Row],[WHRS KW RECOVERED PER DAY]]&lt;&gt;0,Table1[[#This Row],[WHRS RH]]&lt;&gt;0),ROUND(Table1[[#This Row],[WHRS KW RECOVERED PER DAY]]/Table1[[#This Row],[WHRS RH]],1))</f>
        <v>0</v>
      </c>
      <c r="Z969" s="8"/>
      <c r="AA969" s="1"/>
      <c r="AB969" s="1"/>
      <c r="AC969" s="1"/>
      <c r="AD969" s="1"/>
      <c r="AE969" s="1"/>
      <c r="AF969" s="1"/>
      <c r="AG969" s="1" t="str">
        <f t="shared" si="42"/>
        <v/>
      </c>
      <c r="AH969" s="1" t="str">
        <f t="shared" si="41"/>
        <v/>
      </c>
      <c r="AI969" s="1" t="str">
        <f>IF(AH969="", "", SUM($AH$4:AH969))</f>
        <v/>
      </c>
      <c r="AJ969" s="9"/>
    </row>
    <row r="970" spans="1:36">
      <c r="A970" s="7"/>
      <c r="X970" s="6" t="str">
        <f>IF(Table1[[#This Row],[WHRS NET KW TOTAL]]&lt;&gt;0,Table1[[#This Row],[WHRS NET KW TOTAL]]-U969,"")</f>
        <v/>
      </c>
      <c r="Y970" s="6" t="b">
        <f>IF(AND(Table1[[#This Row],[WHRS KW RECOVERED PER DAY]]&lt;&gt;0,Table1[[#This Row],[WHRS RH]]&lt;&gt;0),ROUND(Table1[[#This Row],[WHRS KW RECOVERED PER DAY]]/Table1[[#This Row],[WHRS RH]],1))</f>
        <v>0</v>
      </c>
      <c r="Z970" s="8"/>
      <c r="AA970" s="1"/>
      <c r="AB970" s="1"/>
      <c r="AC970" s="1"/>
      <c r="AD970" s="1"/>
      <c r="AE970" s="1"/>
      <c r="AF970" s="1"/>
      <c r="AG970" s="1" t="str">
        <f t="shared" si="42"/>
        <v/>
      </c>
      <c r="AH970" s="1" t="str">
        <f t="shared" si="41"/>
        <v/>
      </c>
      <c r="AI970" s="1" t="str">
        <f>IF(AH970="", "", SUM($AH$4:AH970))</f>
        <v/>
      </c>
      <c r="AJ970" s="9"/>
    </row>
    <row r="971" spans="1:36">
      <c r="A971" s="7"/>
      <c r="X971" s="6" t="str">
        <f>IF(Table1[[#This Row],[WHRS NET KW TOTAL]]&lt;&gt;0,Table1[[#This Row],[WHRS NET KW TOTAL]]-U970,"")</f>
        <v/>
      </c>
      <c r="Y971" s="6" t="b">
        <f>IF(AND(Table1[[#This Row],[WHRS KW RECOVERED PER DAY]]&lt;&gt;0,Table1[[#This Row],[WHRS RH]]&lt;&gt;0),ROUND(Table1[[#This Row],[WHRS KW RECOVERED PER DAY]]/Table1[[#This Row],[WHRS RH]],1))</f>
        <v>0</v>
      </c>
      <c r="Z971" s="8"/>
      <c r="AA971" s="1"/>
      <c r="AB971" s="1"/>
      <c r="AC971" s="1"/>
      <c r="AD971" s="1"/>
      <c r="AE971" s="1"/>
      <c r="AF971" s="1"/>
      <c r="AG971" s="1" t="str">
        <f t="shared" si="42"/>
        <v/>
      </c>
      <c r="AH971" s="1" t="str">
        <f t="shared" si="41"/>
        <v/>
      </c>
      <c r="AI971" s="1" t="str">
        <f>IF(AH971="", "", SUM($AH$4:AH971))</f>
        <v/>
      </c>
      <c r="AJ971" s="9"/>
    </row>
    <row r="972" spans="1:36">
      <c r="A972" s="7"/>
      <c r="X972" s="6" t="str">
        <f>IF(Table1[[#This Row],[WHRS NET KW TOTAL]]&lt;&gt;0,Table1[[#This Row],[WHRS NET KW TOTAL]]-U971,"")</f>
        <v/>
      </c>
      <c r="Y972" s="6" t="b">
        <f>IF(AND(Table1[[#This Row],[WHRS KW RECOVERED PER DAY]]&lt;&gt;0,Table1[[#This Row],[WHRS RH]]&lt;&gt;0),ROUND(Table1[[#This Row],[WHRS KW RECOVERED PER DAY]]/Table1[[#This Row],[WHRS RH]],1))</f>
        <v>0</v>
      </c>
      <c r="Z972" s="8"/>
      <c r="AA972" s="1"/>
      <c r="AB972" s="1"/>
      <c r="AC972" s="1"/>
      <c r="AD972" s="1"/>
      <c r="AE972" s="1"/>
      <c r="AF972" s="1"/>
      <c r="AG972" s="1" t="str">
        <f t="shared" si="42"/>
        <v/>
      </c>
      <c r="AH972" s="1" t="str">
        <f t="shared" si="41"/>
        <v/>
      </c>
      <c r="AI972" s="1" t="str">
        <f>IF(AH972="", "", SUM($AH$4:AH972))</f>
        <v/>
      </c>
      <c r="AJ972" s="9"/>
    </row>
    <row r="973" spans="1:36">
      <c r="A973" s="7"/>
      <c r="X973" s="6" t="str">
        <f>IF(Table1[[#This Row],[WHRS NET KW TOTAL]]&lt;&gt;0,Table1[[#This Row],[WHRS NET KW TOTAL]]-U972,"")</f>
        <v/>
      </c>
      <c r="Y973" s="6" t="b">
        <f>IF(AND(Table1[[#This Row],[WHRS KW RECOVERED PER DAY]]&lt;&gt;0,Table1[[#This Row],[WHRS RH]]&lt;&gt;0),ROUND(Table1[[#This Row],[WHRS KW RECOVERED PER DAY]]/Table1[[#This Row],[WHRS RH]],1))</f>
        <v>0</v>
      </c>
      <c r="Z973" s="8"/>
      <c r="AA973" s="1"/>
      <c r="AB973" s="1"/>
      <c r="AC973" s="1"/>
      <c r="AD973" s="1"/>
      <c r="AE973" s="1"/>
      <c r="AF973" s="1"/>
      <c r="AG973" s="1" t="str">
        <f t="shared" si="42"/>
        <v/>
      </c>
      <c r="AH973" s="1" t="str">
        <f t="shared" si="41"/>
        <v/>
      </c>
      <c r="AI973" s="1" t="str">
        <f>IF(AH973="", "", SUM($AH$4:AH973))</f>
        <v/>
      </c>
      <c r="AJ973" s="9"/>
    </row>
    <row r="974" spans="1:36">
      <c r="A974" s="7"/>
      <c r="X974" s="6" t="str">
        <f>IF(Table1[[#This Row],[WHRS NET KW TOTAL]]&lt;&gt;0,Table1[[#This Row],[WHRS NET KW TOTAL]]-U973,"")</f>
        <v/>
      </c>
      <c r="Y974" s="6" t="b">
        <f>IF(AND(Table1[[#This Row],[WHRS KW RECOVERED PER DAY]]&lt;&gt;0,Table1[[#This Row],[WHRS RH]]&lt;&gt;0),ROUND(Table1[[#This Row],[WHRS KW RECOVERED PER DAY]]/Table1[[#This Row],[WHRS RH]],1))</f>
        <v>0</v>
      </c>
      <c r="Z974" s="8"/>
      <c r="AA974" s="1"/>
      <c r="AB974" s="1"/>
      <c r="AC974" s="1"/>
      <c r="AD974" s="1"/>
      <c r="AE974" s="1"/>
      <c r="AF974" s="1"/>
      <c r="AG974" s="1" t="str">
        <f t="shared" si="42"/>
        <v/>
      </c>
      <c r="AH974" s="1" t="str">
        <f t="shared" si="41"/>
        <v/>
      </c>
      <c r="AI974" s="1" t="str">
        <f>IF(AH974="", "", SUM($AH$4:AH974))</f>
        <v/>
      </c>
      <c r="AJ974" s="9"/>
    </row>
    <row r="975" spans="1:36">
      <c r="A975" s="7"/>
      <c r="X975" s="6" t="str">
        <f>IF(Table1[[#This Row],[WHRS NET KW TOTAL]]&lt;&gt;0,Table1[[#This Row],[WHRS NET KW TOTAL]]-U974,"")</f>
        <v/>
      </c>
      <c r="Y975" s="6" t="b">
        <f>IF(AND(Table1[[#This Row],[WHRS KW RECOVERED PER DAY]]&lt;&gt;0,Table1[[#This Row],[WHRS RH]]&lt;&gt;0),ROUND(Table1[[#This Row],[WHRS KW RECOVERED PER DAY]]/Table1[[#This Row],[WHRS RH]],1))</f>
        <v>0</v>
      </c>
      <c r="Z975" s="8"/>
      <c r="AA975" s="1"/>
      <c r="AB975" s="1"/>
      <c r="AC975" s="1"/>
      <c r="AD975" s="1"/>
      <c r="AE975" s="1"/>
      <c r="AF975" s="1"/>
      <c r="AG975" s="1" t="str">
        <f t="shared" si="42"/>
        <v/>
      </c>
      <c r="AH975" s="1" t="str">
        <f t="shared" si="41"/>
        <v/>
      </c>
      <c r="AI975" s="1" t="str">
        <f>IF(AH975="", "", SUM($AH$4:AH975))</f>
        <v/>
      </c>
      <c r="AJ975" s="9"/>
    </row>
    <row r="976" spans="1:36">
      <c r="A976" s="7"/>
      <c r="X976" s="6" t="str">
        <f>IF(Table1[[#This Row],[WHRS NET KW TOTAL]]&lt;&gt;0,Table1[[#This Row],[WHRS NET KW TOTAL]]-U975,"")</f>
        <v/>
      </c>
      <c r="Y976" s="6" t="b">
        <f>IF(AND(Table1[[#This Row],[WHRS KW RECOVERED PER DAY]]&lt;&gt;0,Table1[[#This Row],[WHRS RH]]&lt;&gt;0),ROUND(Table1[[#This Row],[WHRS KW RECOVERED PER DAY]]/Table1[[#This Row],[WHRS RH]],1))</f>
        <v>0</v>
      </c>
      <c r="Z976" s="8"/>
      <c r="AA976" s="1"/>
      <c r="AB976" s="1"/>
      <c r="AC976" s="1"/>
      <c r="AD976" s="1"/>
      <c r="AE976" s="1"/>
      <c r="AF976" s="1"/>
      <c r="AG976" s="1" t="str">
        <f t="shared" si="42"/>
        <v/>
      </c>
      <c r="AH976" s="1" t="str">
        <f t="shared" si="41"/>
        <v/>
      </c>
      <c r="AI976" s="1" t="str">
        <f>IF(AH976="", "", SUM($AH$4:AH976))</f>
        <v/>
      </c>
      <c r="AJ976" s="9"/>
    </row>
    <row r="977" spans="1:36">
      <c r="A977" s="7"/>
      <c r="X977" s="6" t="str">
        <f>IF(Table1[[#This Row],[WHRS NET KW TOTAL]]&lt;&gt;0,Table1[[#This Row],[WHRS NET KW TOTAL]]-U976,"")</f>
        <v/>
      </c>
      <c r="Y977" s="6" t="b">
        <f>IF(AND(Table1[[#This Row],[WHRS KW RECOVERED PER DAY]]&lt;&gt;0,Table1[[#This Row],[WHRS RH]]&lt;&gt;0),ROUND(Table1[[#This Row],[WHRS KW RECOVERED PER DAY]]/Table1[[#This Row],[WHRS RH]],1))</f>
        <v>0</v>
      </c>
      <c r="Z977" s="8"/>
      <c r="AA977" s="1"/>
      <c r="AB977" s="1"/>
      <c r="AC977" s="1"/>
      <c r="AD977" s="1"/>
      <c r="AE977" s="1"/>
      <c r="AF977" s="1"/>
      <c r="AG977" s="1" t="str">
        <f t="shared" si="42"/>
        <v/>
      </c>
      <c r="AH977" s="1" t="str">
        <f t="shared" si="41"/>
        <v/>
      </c>
      <c r="AI977" s="1" t="str">
        <f>IF(AH977="", "", SUM($AH$4:AH977))</f>
        <v/>
      </c>
      <c r="AJ977" s="9"/>
    </row>
    <row r="978" spans="1:36">
      <c r="A978" s="7"/>
      <c r="X978" s="6" t="str">
        <f>IF(Table1[[#This Row],[WHRS NET KW TOTAL]]&lt;&gt;0,Table1[[#This Row],[WHRS NET KW TOTAL]]-U977,"")</f>
        <v/>
      </c>
      <c r="Y978" s="6" t="b">
        <f>IF(AND(Table1[[#This Row],[WHRS KW RECOVERED PER DAY]]&lt;&gt;0,Table1[[#This Row],[WHRS RH]]&lt;&gt;0),ROUND(Table1[[#This Row],[WHRS KW RECOVERED PER DAY]]/Table1[[#This Row],[WHRS RH]],1))</f>
        <v>0</v>
      </c>
      <c r="Z978" s="8"/>
      <c r="AA978" s="1"/>
      <c r="AB978" s="1"/>
      <c r="AC978" s="1"/>
      <c r="AD978" s="1"/>
      <c r="AE978" s="1"/>
      <c r="AF978" s="1"/>
      <c r="AG978" s="1" t="str">
        <f t="shared" si="42"/>
        <v/>
      </c>
      <c r="AH978" s="1" t="str">
        <f t="shared" si="41"/>
        <v/>
      </c>
      <c r="AI978" s="1" t="str">
        <f>IF(AH978="", "", SUM($AH$4:AH978))</f>
        <v/>
      </c>
      <c r="AJ978" s="9"/>
    </row>
    <row r="979" spans="1:36">
      <c r="A979" s="7"/>
      <c r="X979" s="6" t="str">
        <f>IF(Table1[[#This Row],[WHRS NET KW TOTAL]]&lt;&gt;0,Table1[[#This Row],[WHRS NET KW TOTAL]]-U978,"")</f>
        <v/>
      </c>
      <c r="Y979" s="6" t="b">
        <f>IF(AND(Table1[[#This Row],[WHRS KW RECOVERED PER DAY]]&lt;&gt;0,Table1[[#This Row],[WHRS RH]]&lt;&gt;0),ROUND(Table1[[#This Row],[WHRS KW RECOVERED PER DAY]]/Table1[[#This Row],[WHRS RH]],1))</f>
        <v>0</v>
      </c>
      <c r="Z979" s="8"/>
      <c r="AA979" s="1"/>
      <c r="AB979" s="1"/>
      <c r="AC979" s="1"/>
      <c r="AD979" s="1"/>
      <c r="AE979" s="1"/>
      <c r="AF979" s="1"/>
      <c r="AG979" s="1" t="str">
        <f t="shared" si="42"/>
        <v/>
      </c>
      <c r="AH979" s="1" t="str">
        <f t="shared" si="41"/>
        <v/>
      </c>
      <c r="AI979" s="1" t="str">
        <f>IF(AH979="", "", SUM($AH$4:AH979))</f>
        <v/>
      </c>
      <c r="AJ979" s="9"/>
    </row>
    <row r="980" spans="1:36">
      <c r="A980" s="7"/>
      <c r="X980" s="6" t="str">
        <f>IF(Table1[[#This Row],[WHRS NET KW TOTAL]]&lt;&gt;0,Table1[[#This Row],[WHRS NET KW TOTAL]]-U979,"")</f>
        <v/>
      </c>
      <c r="Y980" s="6" t="b">
        <f>IF(AND(Table1[[#This Row],[WHRS KW RECOVERED PER DAY]]&lt;&gt;0,Table1[[#This Row],[WHRS RH]]&lt;&gt;0),ROUND(Table1[[#This Row],[WHRS KW RECOVERED PER DAY]]/Table1[[#This Row],[WHRS RH]],1))</f>
        <v>0</v>
      </c>
      <c r="Z980" s="8"/>
      <c r="AA980" s="1"/>
      <c r="AB980" s="1"/>
      <c r="AC980" s="1"/>
      <c r="AD980" s="1"/>
      <c r="AE980" s="1"/>
      <c r="AF980" s="1"/>
      <c r="AG980" s="1" t="str">
        <f t="shared" si="42"/>
        <v/>
      </c>
      <c r="AH980" s="1" t="str">
        <f t="shared" si="41"/>
        <v/>
      </c>
      <c r="AI980" s="1" t="str">
        <f>IF(AH980="", "", SUM($AH$4:AH980))</f>
        <v/>
      </c>
      <c r="AJ980" s="9"/>
    </row>
    <row r="981" spans="1:36">
      <c r="A981" s="7"/>
      <c r="X981" s="6" t="str">
        <f>IF(Table1[[#This Row],[WHRS NET KW TOTAL]]&lt;&gt;0,Table1[[#This Row],[WHRS NET KW TOTAL]]-U980,"")</f>
        <v/>
      </c>
      <c r="Y981" s="6" t="b">
        <f>IF(AND(Table1[[#This Row],[WHRS KW RECOVERED PER DAY]]&lt;&gt;0,Table1[[#This Row],[WHRS RH]]&lt;&gt;0),ROUND(Table1[[#This Row],[WHRS KW RECOVERED PER DAY]]/Table1[[#This Row],[WHRS RH]],1))</f>
        <v>0</v>
      </c>
      <c r="Z981" s="8"/>
      <c r="AA981" s="1"/>
      <c r="AB981" s="1"/>
      <c r="AC981" s="1"/>
      <c r="AD981" s="1"/>
      <c r="AE981" s="1"/>
      <c r="AF981" s="1"/>
      <c r="AG981" s="1" t="str">
        <f t="shared" si="42"/>
        <v/>
      </c>
      <c r="AH981" s="1" t="str">
        <f t="shared" si="41"/>
        <v/>
      </c>
      <c r="AI981" s="1" t="str">
        <f>IF(AH981="", "", SUM($AH$4:AH981))</f>
        <v/>
      </c>
      <c r="AJ981" s="9"/>
    </row>
    <row r="982" spans="1:36">
      <c r="A982" s="7"/>
      <c r="X982" s="6" t="str">
        <f>IF(Table1[[#This Row],[WHRS NET KW TOTAL]]&lt;&gt;0,Table1[[#This Row],[WHRS NET KW TOTAL]]-U981,"")</f>
        <v/>
      </c>
      <c r="Y982" s="6" t="b">
        <f>IF(AND(Table1[[#This Row],[WHRS KW RECOVERED PER DAY]]&lt;&gt;0,Table1[[#This Row],[WHRS RH]]&lt;&gt;0),ROUND(Table1[[#This Row],[WHRS KW RECOVERED PER DAY]]/Table1[[#This Row],[WHRS RH]],1))</f>
        <v>0</v>
      </c>
      <c r="Z982" s="8"/>
      <c r="AA982" s="1"/>
      <c r="AB982" s="1"/>
      <c r="AC982" s="1"/>
      <c r="AD982" s="1"/>
      <c r="AE982" s="1"/>
      <c r="AF982" s="1"/>
      <c r="AG982" s="1" t="str">
        <f t="shared" si="42"/>
        <v/>
      </c>
      <c r="AH982" s="1" t="str">
        <f t="shared" si="41"/>
        <v/>
      </c>
      <c r="AI982" s="1" t="str">
        <f>IF(AH982="", "", SUM($AH$4:AH982))</f>
        <v/>
      </c>
      <c r="AJ982" s="9"/>
    </row>
    <row r="983" spans="1:36">
      <c r="A983" s="7"/>
      <c r="X983" s="6" t="str">
        <f>IF(Table1[[#This Row],[WHRS NET KW TOTAL]]&lt;&gt;0,Table1[[#This Row],[WHRS NET KW TOTAL]]-U982,"")</f>
        <v/>
      </c>
      <c r="Y983" s="6" t="b">
        <f>IF(AND(Table1[[#This Row],[WHRS KW RECOVERED PER DAY]]&lt;&gt;0,Table1[[#This Row],[WHRS RH]]&lt;&gt;0),ROUND(Table1[[#This Row],[WHRS KW RECOVERED PER DAY]]/Table1[[#This Row],[WHRS RH]],1))</f>
        <v>0</v>
      </c>
      <c r="Z983" s="8"/>
      <c r="AA983" s="1"/>
      <c r="AB983" s="1"/>
      <c r="AC983" s="1"/>
      <c r="AD983" s="1"/>
      <c r="AE983" s="1"/>
      <c r="AF983" s="1"/>
      <c r="AG983" s="1" t="str">
        <f t="shared" si="42"/>
        <v/>
      </c>
      <c r="AH983" s="1" t="str">
        <f t="shared" si="41"/>
        <v/>
      </c>
      <c r="AI983" s="1" t="str">
        <f>IF(AH983="", "", SUM($AH$4:AH983))</f>
        <v/>
      </c>
      <c r="AJ983" s="9"/>
    </row>
    <row r="984" spans="1:36">
      <c r="A984" s="7"/>
      <c r="X984" s="6" t="str">
        <f>IF(Table1[[#This Row],[WHRS NET KW TOTAL]]&lt;&gt;0,Table1[[#This Row],[WHRS NET KW TOTAL]]-U983,"")</f>
        <v/>
      </c>
      <c r="Y984" s="6" t="b">
        <f>IF(AND(Table1[[#This Row],[WHRS KW RECOVERED PER DAY]]&lt;&gt;0,Table1[[#This Row],[WHRS RH]]&lt;&gt;0),ROUND(Table1[[#This Row],[WHRS KW RECOVERED PER DAY]]/Table1[[#This Row],[WHRS RH]],1))</f>
        <v>0</v>
      </c>
      <c r="Z984" s="8"/>
      <c r="AA984" s="1"/>
      <c r="AB984" s="1"/>
      <c r="AC984" s="1"/>
      <c r="AD984" s="1"/>
      <c r="AE984" s="1"/>
      <c r="AF984" s="1"/>
      <c r="AG984" s="1" t="str">
        <f t="shared" si="42"/>
        <v/>
      </c>
      <c r="AH984" s="1" t="str">
        <f t="shared" si="41"/>
        <v/>
      </c>
      <c r="AI984" s="1" t="str">
        <f>IF(AH984="", "", SUM($AH$4:AH984))</f>
        <v/>
      </c>
      <c r="AJ984" s="9"/>
    </row>
    <row r="985" spans="1:36">
      <c r="A985" s="7"/>
      <c r="X985" s="6" t="str">
        <f>IF(Table1[[#This Row],[WHRS NET KW TOTAL]]&lt;&gt;0,Table1[[#This Row],[WHRS NET KW TOTAL]]-U984,"")</f>
        <v/>
      </c>
      <c r="Y985" s="6" t="b">
        <f>IF(AND(Table1[[#This Row],[WHRS KW RECOVERED PER DAY]]&lt;&gt;0,Table1[[#This Row],[WHRS RH]]&lt;&gt;0),ROUND(Table1[[#This Row],[WHRS KW RECOVERED PER DAY]]/Table1[[#This Row],[WHRS RH]],1))</f>
        <v>0</v>
      </c>
      <c r="Z985" s="8"/>
      <c r="AA985" s="1"/>
      <c r="AB985" s="1"/>
      <c r="AC985" s="1"/>
      <c r="AD985" s="1"/>
      <c r="AE985" s="1"/>
      <c r="AF985" s="1"/>
      <c r="AG985" s="1" t="str">
        <f t="shared" si="42"/>
        <v/>
      </c>
      <c r="AH985" s="1" t="str">
        <f t="shared" si="41"/>
        <v/>
      </c>
      <c r="AI985" s="1" t="str">
        <f>IF(AH985="", "", SUM($AH$4:AH985))</f>
        <v/>
      </c>
      <c r="AJ985" s="9"/>
    </row>
    <row r="986" spans="1:36">
      <c r="A986" s="7"/>
      <c r="X986" s="6" t="str">
        <f>IF(Table1[[#This Row],[WHRS NET KW TOTAL]]&lt;&gt;0,Table1[[#This Row],[WHRS NET KW TOTAL]]-U985,"")</f>
        <v/>
      </c>
      <c r="Y986" s="6" t="b">
        <f>IF(AND(Table1[[#This Row],[WHRS KW RECOVERED PER DAY]]&lt;&gt;0,Table1[[#This Row],[WHRS RH]]&lt;&gt;0),ROUND(Table1[[#This Row],[WHRS KW RECOVERED PER DAY]]/Table1[[#This Row],[WHRS RH]],1))</f>
        <v>0</v>
      </c>
      <c r="Z986" s="8"/>
      <c r="AA986" s="1"/>
      <c r="AB986" s="1"/>
      <c r="AC986" s="1"/>
      <c r="AD986" s="1"/>
      <c r="AE986" s="1"/>
      <c r="AF986" s="1"/>
      <c r="AG986" s="1" t="str">
        <f t="shared" si="42"/>
        <v/>
      </c>
      <c r="AH986" s="1" t="str">
        <f t="shared" si="41"/>
        <v/>
      </c>
      <c r="AI986" s="1" t="str">
        <f>IF(AH986="", "", SUM($AH$4:AH986))</f>
        <v/>
      </c>
      <c r="AJ986" s="9"/>
    </row>
    <row r="987" spans="1:36">
      <c r="A987" s="7"/>
      <c r="X987" s="6" t="str">
        <f>IF(Table1[[#This Row],[WHRS NET KW TOTAL]]&lt;&gt;0,Table1[[#This Row],[WHRS NET KW TOTAL]]-U986,"")</f>
        <v/>
      </c>
      <c r="Y987" s="6" t="b">
        <f>IF(AND(Table1[[#This Row],[WHRS KW RECOVERED PER DAY]]&lt;&gt;0,Table1[[#This Row],[WHRS RH]]&lt;&gt;0),ROUND(Table1[[#This Row],[WHRS KW RECOVERED PER DAY]]/Table1[[#This Row],[WHRS RH]],1))</f>
        <v>0</v>
      </c>
      <c r="Z987" s="8"/>
      <c r="AA987" s="1"/>
      <c r="AB987" s="1"/>
      <c r="AC987" s="1"/>
      <c r="AD987" s="1"/>
      <c r="AE987" s="1"/>
      <c r="AF987" s="1"/>
      <c r="AG987" s="1" t="str">
        <f t="shared" si="42"/>
        <v/>
      </c>
      <c r="AH987" s="1" t="str">
        <f t="shared" si="41"/>
        <v/>
      </c>
      <c r="AI987" s="1" t="str">
        <f>IF(AH987="", "", SUM($AH$4:AH987))</f>
        <v/>
      </c>
      <c r="AJ987" s="9"/>
    </row>
    <row r="988" spans="1:36">
      <c r="A988" s="7"/>
      <c r="X988" s="6" t="str">
        <f>IF(Table1[[#This Row],[WHRS NET KW TOTAL]]&lt;&gt;0,Table1[[#This Row],[WHRS NET KW TOTAL]]-U987,"")</f>
        <v/>
      </c>
      <c r="Y988" s="6" t="b">
        <f>IF(AND(Table1[[#This Row],[WHRS KW RECOVERED PER DAY]]&lt;&gt;0,Table1[[#This Row],[WHRS RH]]&lt;&gt;0),ROUND(Table1[[#This Row],[WHRS KW RECOVERED PER DAY]]/Table1[[#This Row],[WHRS RH]],1))</f>
        <v>0</v>
      </c>
      <c r="Z988" s="8"/>
      <c r="AA988" s="1"/>
      <c r="AB988" s="1"/>
      <c r="AC988" s="1"/>
      <c r="AD988" s="1"/>
      <c r="AE988" s="1"/>
      <c r="AF988" s="1"/>
      <c r="AG988" s="1" t="str">
        <f t="shared" si="42"/>
        <v/>
      </c>
      <c r="AH988" s="1" t="str">
        <f t="shared" si="41"/>
        <v/>
      </c>
      <c r="AI988" s="1" t="str">
        <f>IF(AH988="", "", SUM($AH$4:AH988))</f>
        <v/>
      </c>
      <c r="AJ988" s="9"/>
    </row>
    <row r="989" spans="1:36">
      <c r="A989" s="7"/>
      <c r="X989" s="6" t="str">
        <f>IF(Table1[[#This Row],[WHRS NET KW TOTAL]]&lt;&gt;0,Table1[[#This Row],[WHRS NET KW TOTAL]]-U988,"")</f>
        <v/>
      </c>
      <c r="Y989" s="6" t="b">
        <f>IF(AND(Table1[[#This Row],[WHRS KW RECOVERED PER DAY]]&lt;&gt;0,Table1[[#This Row],[WHRS RH]]&lt;&gt;0),ROUND(Table1[[#This Row],[WHRS KW RECOVERED PER DAY]]/Table1[[#This Row],[WHRS RH]],1))</f>
        <v>0</v>
      </c>
      <c r="Z989" s="8"/>
      <c r="AA989" s="1"/>
      <c r="AB989" s="1"/>
      <c r="AC989" s="1"/>
      <c r="AD989" s="1"/>
      <c r="AE989" s="1"/>
      <c r="AF989" s="1"/>
      <c r="AG989" s="1" t="str">
        <f t="shared" si="42"/>
        <v/>
      </c>
      <c r="AH989" s="1" t="str">
        <f t="shared" si="41"/>
        <v/>
      </c>
      <c r="AI989" s="1" t="str">
        <f>IF(AH989="", "", SUM($AH$4:AH989))</f>
        <v/>
      </c>
      <c r="AJ989" s="9"/>
    </row>
    <row r="990" spans="1:36">
      <c r="A990" s="7"/>
      <c r="X990" s="6" t="str">
        <f>IF(Table1[[#This Row],[WHRS NET KW TOTAL]]&lt;&gt;0,Table1[[#This Row],[WHRS NET KW TOTAL]]-U989,"")</f>
        <v/>
      </c>
      <c r="Y990" s="6" t="b">
        <f>IF(AND(Table1[[#This Row],[WHRS KW RECOVERED PER DAY]]&lt;&gt;0,Table1[[#This Row],[WHRS RH]]&lt;&gt;0),ROUND(Table1[[#This Row],[WHRS KW RECOVERED PER DAY]]/Table1[[#This Row],[WHRS RH]],1))</f>
        <v>0</v>
      </c>
      <c r="Z990" s="8"/>
      <c r="AA990" s="1"/>
      <c r="AB990" s="1"/>
      <c r="AC990" s="1"/>
      <c r="AD990" s="1"/>
      <c r="AE990" s="1"/>
      <c r="AF990" s="1"/>
      <c r="AG990" s="1" t="str">
        <f t="shared" si="42"/>
        <v/>
      </c>
      <c r="AH990" s="1" t="str">
        <f t="shared" si="41"/>
        <v/>
      </c>
      <c r="AI990" s="1" t="str">
        <f>IF(AH990="", "", SUM($AH$4:AH990))</f>
        <v/>
      </c>
      <c r="AJ990" s="9"/>
    </row>
    <row r="991" spans="1:36">
      <c r="A991" s="7"/>
      <c r="X991" s="6" t="str">
        <f>IF(Table1[[#This Row],[WHRS NET KW TOTAL]]&lt;&gt;0,Table1[[#This Row],[WHRS NET KW TOTAL]]-U990,"")</f>
        <v/>
      </c>
      <c r="Y991" s="6" t="b">
        <f>IF(AND(Table1[[#This Row],[WHRS KW RECOVERED PER DAY]]&lt;&gt;0,Table1[[#This Row],[WHRS RH]]&lt;&gt;0),ROUND(Table1[[#This Row],[WHRS KW RECOVERED PER DAY]]/Table1[[#This Row],[WHRS RH]],1))</f>
        <v>0</v>
      </c>
      <c r="Z991" s="8"/>
      <c r="AA991" s="1"/>
      <c r="AB991" s="1"/>
      <c r="AC991" s="1"/>
      <c r="AD991" s="1"/>
      <c r="AE991" s="1"/>
      <c r="AF991" s="1"/>
      <c r="AG991" s="1" t="str">
        <f t="shared" si="42"/>
        <v/>
      </c>
      <c r="AH991" s="1" t="str">
        <f t="shared" si="41"/>
        <v/>
      </c>
      <c r="AI991" s="1" t="str">
        <f>IF(AH991="", "", SUM($AH$4:AH991))</f>
        <v/>
      </c>
      <c r="AJ991" s="9"/>
    </row>
    <row r="992" spans="1:36">
      <c r="A992" s="7"/>
      <c r="X992" s="6" t="str">
        <f>IF(Table1[[#This Row],[WHRS NET KW TOTAL]]&lt;&gt;0,Table1[[#This Row],[WHRS NET KW TOTAL]]-U991,"")</f>
        <v/>
      </c>
      <c r="Y992" s="6" t="b">
        <f>IF(AND(Table1[[#This Row],[WHRS KW RECOVERED PER DAY]]&lt;&gt;0,Table1[[#This Row],[WHRS RH]]&lt;&gt;0),ROUND(Table1[[#This Row],[WHRS KW RECOVERED PER DAY]]/Table1[[#This Row],[WHRS RH]],1))</f>
        <v>0</v>
      </c>
      <c r="Z992" s="8"/>
      <c r="AA992" s="1"/>
      <c r="AB992" s="1"/>
      <c r="AC992" s="1"/>
      <c r="AD992" s="1"/>
      <c r="AE992" s="1"/>
      <c r="AF992" s="1"/>
      <c r="AG992" s="1" t="str">
        <f t="shared" si="42"/>
        <v/>
      </c>
      <c r="AH992" s="1" t="str">
        <f t="shared" si="41"/>
        <v/>
      </c>
      <c r="AI992" s="1" t="str">
        <f>IF(AH992="", "", SUM($AH$4:AH992))</f>
        <v/>
      </c>
      <c r="AJ992" s="9"/>
    </row>
    <row r="993" spans="1:36">
      <c r="A993" s="7"/>
      <c r="X993" s="6" t="str">
        <f>IF(Table1[[#This Row],[WHRS NET KW TOTAL]]&lt;&gt;0,Table1[[#This Row],[WHRS NET KW TOTAL]]-U992,"")</f>
        <v/>
      </c>
      <c r="Y993" s="6" t="b">
        <f>IF(AND(Table1[[#This Row],[WHRS KW RECOVERED PER DAY]]&lt;&gt;0,Table1[[#This Row],[WHRS RH]]&lt;&gt;0),ROUND(Table1[[#This Row],[WHRS KW RECOVERED PER DAY]]/Table1[[#This Row],[WHRS RH]],1))</f>
        <v>0</v>
      </c>
      <c r="Z993" s="8"/>
      <c r="AA993" s="1"/>
      <c r="AB993" s="1"/>
      <c r="AC993" s="1"/>
      <c r="AD993" s="1"/>
      <c r="AE993" s="1"/>
      <c r="AF993" s="1"/>
      <c r="AG993" s="1" t="str">
        <f t="shared" si="42"/>
        <v/>
      </c>
      <c r="AH993" s="1" t="str">
        <f t="shared" si="41"/>
        <v/>
      </c>
      <c r="AI993" s="1" t="str">
        <f>IF(AH993="", "", SUM($AH$4:AH993))</f>
        <v/>
      </c>
      <c r="AJ993" s="9"/>
    </row>
    <row r="994" spans="1:36">
      <c r="A994" s="7"/>
      <c r="X994" s="6" t="str">
        <f>IF(Table1[[#This Row],[WHRS NET KW TOTAL]]&lt;&gt;0,Table1[[#This Row],[WHRS NET KW TOTAL]]-U993,"")</f>
        <v/>
      </c>
      <c r="Y994" s="6" t="b">
        <f>IF(AND(Table1[[#This Row],[WHRS KW RECOVERED PER DAY]]&lt;&gt;0,Table1[[#This Row],[WHRS RH]]&lt;&gt;0),ROUND(Table1[[#This Row],[WHRS KW RECOVERED PER DAY]]/Table1[[#This Row],[WHRS RH]],1))</f>
        <v>0</v>
      </c>
      <c r="Z994" s="8"/>
      <c r="AA994" s="1"/>
      <c r="AB994" s="1"/>
      <c r="AC994" s="1"/>
      <c r="AD994" s="1"/>
      <c r="AE994" s="1"/>
      <c r="AF994" s="1"/>
      <c r="AG994" s="1" t="str">
        <f t="shared" si="42"/>
        <v/>
      </c>
      <c r="AH994" s="1" t="str">
        <f t="shared" si="41"/>
        <v/>
      </c>
      <c r="AI994" s="1" t="str">
        <f>IF(AH994="", "", SUM($AH$4:AH994))</f>
        <v/>
      </c>
      <c r="AJ994" s="9"/>
    </row>
    <row r="995" spans="1:36">
      <c r="A995" s="7"/>
      <c r="X995" s="6" t="str">
        <f>IF(Table1[[#This Row],[WHRS NET KW TOTAL]]&lt;&gt;0,Table1[[#This Row],[WHRS NET KW TOTAL]]-U994,"")</f>
        <v/>
      </c>
      <c r="Y995" s="6" t="b">
        <f>IF(AND(Table1[[#This Row],[WHRS KW RECOVERED PER DAY]]&lt;&gt;0,Table1[[#This Row],[WHRS RH]]&lt;&gt;0),ROUND(Table1[[#This Row],[WHRS KW RECOVERED PER DAY]]/Table1[[#This Row],[WHRS RH]],1))</f>
        <v>0</v>
      </c>
      <c r="Z995" s="8"/>
      <c r="AA995" s="1"/>
      <c r="AB995" s="1"/>
      <c r="AC995" s="1"/>
      <c r="AD995" s="1"/>
      <c r="AE995" s="1"/>
      <c r="AF995" s="1"/>
      <c r="AG995" s="1" t="str">
        <f t="shared" si="42"/>
        <v/>
      </c>
      <c r="AH995" s="1" t="str">
        <f t="shared" si="41"/>
        <v/>
      </c>
      <c r="AI995" s="1" t="str">
        <f>IF(AH995="", "", SUM($AH$4:AH995))</f>
        <v/>
      </c>
      <c r="AJ995" s="9"/>
    </row>
    <row r="996" spans="1:36">
      <c r="A996" s="7"/>
      <c r="X996" s="6" t="str">
        <f>IF(Table1[[#This Row],[WHRS NET KW TOTAL]]&lt;&gt;0,Table1[[#This Row],[WHRS NET KW TOTAL]]-U995,"")</f>
        <v/>
      </c>
      <c r="Y996" s="6" t="b">
        <f>IF(AND(Table1[[#This Row],[WHRS KW RECOVERED PER DAY]]&lt;&gt;0,Table1[[#This Row],[WHRS RH]]&lt;&gt;0),ROUND(Table1[[#This Row],[WHRS KW RECOVERED PER DAY]]/Table1[[#This Row],[WHRS RH]],1))</f>
        <v>0</v>
      </c>
      <c r="Z996" s="8"/>
      <c r="AA996" s="1"/>
      <c r="AB996" s="1"/>
      <c r="AC996" s="1"/>
      <c r="AD996" s="1"/>
      <c r="AE996" s="1"/>
      <c r="AF996" s="1"/>
      <c r="AG996" s="1" t="str">
        <f t="shared" si="42"/>
        <v/>
      </c>
      <c r="AH996" s="1" t="str">
        <f t="shared" si="41"/>
        <v/>
      </c>
      <c r="AI996" s="1" t="str">
        <f>IF(AH996="", "", SUM($AH$4:AH996))</f>
        <v/>
      </c>
      <c r="AJ996" s="9"/>
    </row>
    <row r="997" spans="1:36">
      <c r="A997" s="7"/>
      <c r="X997" s="6" t="str">
        <f>IF(Table1[[#This Row],[WHRS NET KW TOTAL]]&lt;&gt;0,Table1[[#This Row],[WHRS NET KW TOTAL]]-U996,"")</f>
        <v/>
      </c>
      <c r="Y997" s="6" t="b">
        <f>IF(AND(Table1[[#This Row],[WHRS KW RECOVERED PER DAY]]&lt;&gt;0,Table1[[#This Row],[WHRS RH]]&lt;&gt;0),ROUND(Table1[[#This Row],[WHRS KW RECOVERED PER DAY]]/Table1[[#This Row],[WHRS RH]],1))</f>
        <v>0</v>
      </c>
      <c r="Z997" s="8"/>
      <c r="AA997" s="1"/>
      <c r="AB997" s="1"/>
      <c r="AC997" s="1"/>
      <c r="AD997" s="1"/>
      <c r="AE997" s="1"/>
      <c r="AF997" s="1"/>
      <c r="AG997" s="1" t="str">
        <f t="shared" si="42"/>
        <v/>
      </c>
      <c r="AH997" s="1" t="str">
        <f t="shared" si="41"/>
        <v/>
      </c>
      <c r="AI997" s="1" t="str">
        <f>IF(AH997="", "", SUM($AH$4:AH997))</f>
        <v/>
      </c>
      <c r="AJ997" s="9"/>
    </row>
    <row r="998" spans="1:36">
      <c r="A998" s="7"/>
      <c r="X998" s="6" t="str">
        <f>IF(Table1[[#This Row],[WHRS NET KW TOTAL]]&lt;&gt;0,Table1[[#This Row],[WHRS NET KW TOTAL]]-U997,"")</f>
        <v/>
      </c>
      <c r="Y998" s="6" t="b">
        <f>IF(AND(Table1[[#This Row],[WHRS KW RECOVERED PER DAY]]&lt;&gt;0,Table1[[#This Row],[WHRS RH]]&lt;&gt;0),ROUND(Table1[[#This Row],[WHRS KW RECOVERED PER DAY]]/Table1[[#This Row],[WHRS RH]],1))</f>
        <v>0</v>
      </c>
      <c r="Z998" s="8"/>
      <c r="AA998" s="1"/>
      <c r="AB998" s="1"/>
      <c r="AC998" s="1"/>
      <c r="AD998" s="1"/>
      <c r="AE998" s="1"/>
      <c r="AF998" s="1"/>
      <c r="AG998" s="1" t="str">
        <f t="shared" ref="AG998" si="43">IF(C999="", "", _xlfn.IFS(C999="LNG", 1345, C999="LSMGO", 1280, C999="VLSFO", 820, C999="HSFO", 635, TRUE, ""))</f>
        <v/>
      </c>
      <c r="AH998" s="1" t="str">
        <f t="shared" si="41"/>
        <v/>
      </c>
      <c r="AI998" s="1" t="str">
        <f>IF(AH998="", "", SUM($AH$4:AH998))</f>
        <v/>
      </c>
      <c r="AJ998" s="9"/>
    </row>
  </sheetData>
  <mergeCells count="1">
    <mergeCell ref="A1:H1"/>
  </mergeCells>
  <phoneticPr fontId="7" type="noConversion"/>
  <conditionalFormatting sqref="B2:B1048576">
    <cfRule type="cellIs" dxfId="4" priority="12" operator="equal">
      <formula>"VOYAGE"</formula>
    </cfRule>
  </conditionalFormatting>
  <conditionalFormatting sqref="C2:C1048576">
    <cfRule type="cellIs" dxfId="3" priority="10" operator="equal">
      <formula>"LNG"</formula>
    </cfRule>
    <cfRule type="cellIs" dxfId="2" priority="11" operator="equal">
      <formula>"LSMGO"</formula>
    </cfRule>
  </conditionalFormatting>
  <conditionalFormatting sqref="D2:E1048576">
    <cfRule type="iconSet" priority="8">
      <iconSet iconSet="5Rating">
        <cfvo type="percent" val="0"/>
        <cfvo type="num" val="35"/>
        <cfvo type="num" val="50"/>
        <cfvo type="num" val="80"/>
        <cfvo type="num" val="90"/>
      </iconSet>
    </cfRule>
  </conditionalFormatting>
  <conditionalFormatting sqref="I1:J1 R1 X1 T2:T998 AJ2:AJ998 I999:J1048576 R999:R1048576 X999:X1048576">
    <cfRule type="cellIs" dxfId="1" priority="7" operator="equal">
      <formula>"ON"</formula>
    </cfRule>
  </conditionalFormatting>
  <conditionalFormatting sqref="M999:M1048576 M1 Y2:Y998">
    <cfRule type="iconSet" priority="2">
      <iconSet iconSet="5Rating">
        <cfvo type="percent" val="0"/>
        <cfvo type="num" val="15"/>
        <cfvo type="num" val="35"/>
        <cfvo type="num" val="65"/>
        <cfvo type="num" val="90"/>
      </iconSet>
    </cfRule>
  </conditionalFormatting>
  <conditionalFormatting sqref="T3:T998">
    <cfRule type="cellIs" dxfId="0" priority="1" operator="equal">
      <formula>"FAILURE"</formula>
    </cfRule>
  </conditionalFormatting>
  <conditionalFormatting sqref="Z999:Z1048576 Z1 V1 V999:V1048576 O1 O999:O1048576 H999:H1048576 AA2:AC998">
    <cfRule type="iconSet" priority="14">
      <iconSet iconSet="5Quarters" reverse="1">
        <cfvo type="percent" val="0"/>
        <cfvo type="percent" val="20"/>
        <cfvo type="percent" val="40"/>
        <cfvo type="percent" val="60"/>
        <cfvo type="percent" val="80"/>
      </iconSet>
    </cfRule>
  </conditionalFormatting>
  <dataValidations count="5">
    <dataValidation type="list" allowBlank="1" showInputMessage="1" showErrorMessage="1" sqref="B3:B998" xr:uid="{0931BEE3-F130-4443-8653-6E32DAE2752B}">
      <formula1>"VOYAGE,PORT,ANCHOR,DRIFT"</formula1>
    </dataValidation>
    <dataValidation type="list" allowBlank="1" showInputMessage="1" showErrorMessage="1" sqref="T3:T998" xr:uid="{012003B8-A4EB-46C9-A5DF-4E99C95EFA58}">
      <formula1>"ON,OFF,FAILURE"</formula1>
    </dataValidation>
    <dataValidation type="custom" allowBlank="1" showInputMessage="1" showErrorMessage="1" sqref="A3:A998" xr:uid="{51FBD5A2-E187-44BF-9335-04014FA57243}">
      <formula1>AND(ISNUMBER(A3),A3=INT(A3)+MOD(A3,1))</formula1>
    </dataValidation>
    <dataValidation type="list" allowBlank="1" showInputMessage="1" showErrorMessage="1" sqref="C999:C1048576" xr:uid="{864F9C23-9A70-425A-A636-9FBE932024E9}">
      <formula1>"LNG,LSMGO，VLSFO,HSFO"</formula1>
    </dataValidation>
    <dataValidation type="list" allowBlank="1" showInputMessage="1" showErrorMessage="1" sqref="C3:C998" xr:uid="{DCAFB56D-63A7-40E4-8D4C-45D9DFF4C80C}">
      <formula1>"LNG,LSMGO,VLSFO,HSFO"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16C5-608C-4725-8D0A-935DC0399FE9}">
  <dimension ref="A1"/>
  <sheetViews>
    <sheetView workbookViewId="0"/>
  </sheetViews>
  <sheetFormatPr defaultRowHeight="14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</dc:creator>
  <cp:keywords/>
  <dc:description/>
  <cp:lastModifiedBy>VENKAT KRISHNA</cp:lastModifiedBy>
  <cp:revision/>
  <dcterms:created xsi:type="dcterms:W3CDTF">2015-06-05T18:17:20Z</dcterms:created>
  <dcterms:modified xsi:type="dcterms:W3CDTF">2026-09-28T13:11:27Z</dcterms:modified>
  <cp:category/>
  <cp:contentStatus/>
</cp:coreProperties>
</file>